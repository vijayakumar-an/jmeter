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VI856\Downloads\"/>
    </mc:Choice>
  </mc:AlternateContent>
  <xr:revisionPtr revIDLastSave="0" documentId="13_ncr:1_{A3167770-F4E6-428B-9DC5-62BBEB87AAD6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Snapdragon" sheetId="1" r:id="rId1"/>
    <sheet name="Exynos" sheetId="2" r:id="rId2"/>
    <sheet name="MediaTe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82" i="3" l="1"/>
  <c r="L182" i="3"/>
  <c r="K182" i="3"/>
  <c r="J182" i="3"/>
  <c r="I182" i="3"/>
  <c r="H182" i="3"/>
  <c r="G182" i="3"/>
  <c r="F182" i="3"/>
  <c r="E182" i="3"/>
  <c r="D182" i="3"/>
  <c r="C182" i="3"/>
  <c r="B182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M92" i="3"/>
  <c r="L92" i="3"/>
  <c r="K92" i="3"/>
  <c r="J92" i="3"/>
  <c r="I92" i="3"/>
  <c r="H92" i="3"/>
  <c r="G92" i="3"/>
  <c r="F92" i="3"/>
  <c r="E92" i="3"/>
  <c r="D92" i="3"/>
  <c r="C92" i="3"/>
  <c r="B92" i="3"/>
  <c r="M83" i="3"/>
  <c r="L83" i="3"/>
  <c r="K83" i="3"/>
  <c r="J83" i="3"/>
  <c r="I83" i="3"/>
  <c r="H83" i="3"/>
  <c r="G83" i="3"/>
  <c r="F83" i="3"/>
  <c r="E83" i="3"/>
  <c r="D83" i="3"/>
  <c r="C83" i="3"/>
  <c r="B83" i="3"/>
  <c r="M74" i="3"/>
  <c r="L74" i="3"/>
  <c r="K74" i="3"/>
  <c r="J74" i="3"/>
  <c r="I74" i="3"/>
  <c r="H74" i="3"/>
  <c r="G74" i="3"/>
  <c r="F74" i="3"/>
  <c r="E74" i="3"/>
  <c r="D74" i="3"/>
  <c r="C74" i="3"/>
  <c r="B74" i="3"/>
  <c r="M65" i="3"/>
  <c r="L65" i="3"/>
  <c r="K65" i="3"/>
  <c r="J65" i="3"/>
  <c r="I65" i="3"/>
  <c r="H65" i="3"/>
  <c r="G65" i="3"/>
  <c r="F65" i="3"/>
  <c r="E65" i="3"/>
  <c r="D65" i="3"/>
  <c r="C65" i="3"/>
  <c r="B65" i="3"/>
  <c r="M56" i="3"/>
  <c r="L56" i="3"/>
  <c r="K56" i="3"/>
  <c r="J56" i="3"/>
  <c r="I56" i="3"/>
  <c r="H56" i="3"/>
  <c r="G56" i="3"/>
  <c r="F56" i="3"/>
  <c r="E56" i="3"/>
  <c r="D56" i="3"/>
  <c r="C56" i="3"/>
  <c r="B56" i="3"/>
  <c r="M47" i="3"/>
  <c r="L47" i="3"/>
  <c r="K47" i="3"/>
  <c r="J47" i="3"/>
  <c r="I47" i="3"/>
  <c r="H47" i="3"/>
  <c r="G47" i="3"/>
  <c r="F47" i="3"/>
  <c r="E47" i="3"/>
  <c r="D47" i="3"/>
  <c r="C47" i="3"/>
  <c r="B47" i="3"/>
  <c r="M38" i="3"/>
  <c r="L38" i="3"/>
  <c r="K38" i="3"/>
  <c r="J38" i="3"/>
  <c r="I38" i="3"/>
  <c r="H38" i="3"/>
  <c r="G38" i="3"/>
  <c r="F38" i="3"/>
  <c r="E38" i="3"/>
  <c r="D38" i="3"/>
  <c r="C38" i="3"/>
  <c r="B38" i="3"/>
  <c r="M29" i="3"/>
  <c r="L29" i="3"/>
  <c r="K29" i="3"/>
  <c r="J29" i="3"/>
  <c r="I29" i="3"/>
  <c r="H29" i="3"/>
  <c r="G29" i="3"/>
  <c r="F29" i="3"/>
  <c r="E29" i="3"/>
  <c r="D29" i="3"/>
  <c r="C29" i="3"/>
  <c r="B29" i="3"/>
  <c r="M20" i="3"/>
  <c r="L20" i="3"/>
  <c r="K20" i="3"/>
  <c r="J20" i="3"/>
  <c r="I20" i="3"/>
  <c r="H20" i="3"/>
  <c r="G20" i="3"/>
  <c r="F20" i="3"/>
  <c r="E20" i="3"/>
  <c r="D20" i="3"/>
  <c r="C20" i="3"/>
  <c r="B20" i="3"/>
  <c r="M11" i="3"/>
  <c r="L11" i="3"/>
  <c r="K11" i="3"/>
  <c r="J11" i="3"/>
  <c r="I11" i="3"/>
  <c r="H11" i="3"/>
  <c r="G11" i="3"/>
  <c r="F11" i="3"/>
  <c r="E11" i="3"/>
  <c r="D11" i="3"/>
  <c r="C11" i="3"/>
  <c r="B11" i="3"/>
  <c r="M182" i="2"/>
  <c r="L182" i="2"/>
  <c r="K182" i="2"/>
  <c r="J182" i="2"/>
  <c r="I182" i="2"/>
  <c r="H182" i="2"/>
  <c r="G182" i="2"/>
  <c r="F182" i="2"/>
  <c r="E182" i="2"/>
  <c r="D182" i="2"/>
  <c r="C182" i="2"/>
  <c r="B182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M92" i="2"/>
  <c r="L92" i="2"/>
  <c r="K92" i="2"/>
  <c r="J92" i="2"/>
  <c r="I92" i="2"/>
  <c r="H92" i="2"/>
  <c r="G92" i="2"/>
  <c r="F92" i="2"/>
  <c r="E92" i="2"/>
  <c r="D92" i="2"/>
  <c r="C92" i="2"/>
  <c r="B92" i="2"/>
  <c r="M83" i="2"/>
  <c r="L83" i="2"/>
  <c r="K83" i="2"/>
  <c r="J83" i="2"/>
  <c r="I83" i="2"/>
  <c r="H83" i="2"/>
  <c r="G83" i="2"/>
  <c r="F83" i="2"/>
  <c r="E83" i="2"/>
  <c r="D83" i="2"/>
  <c r="C83" i="2"/>
  <c r="B83" i="2"/>
  <c r="M74" i="2"/>
  <c r="L74" i="2"/>
  <c r="K74" i="2"/>
  <c r="J74" i="2"/>
  <c r="I74" i="2"/>
  <c r="H74" i="2"/>
  <c r="G74" i="2"/>
  <c r="F74" i="2"/>
  <c r="E74" i="2"/>
  <c r="D74" i="2"/>
  <c r="C74" i="2"/>
  <c r="B74" i="2"/>
  <c r="M65" i="2"/>
  <c r="L65" i="2"/>
  <c r="K65" i="2"/>
  <c r="J65" i="2"/>
  <c r="I65" i="2"/>
  <c r="H65" i="2"/>
  <c r="G65" i="2"/>
  <c r="F65" i="2"/>
  <c r="E65" i="2"/>
  <c r="D65" i="2"/>
  <c r="C65" i="2"/>
  <c r="B65" i="2"/>
  <c r="M56" i="2"/>
  <c r="L56" i="2"/>
  <c r="K56" i="2"/>
  <c r="J56" i="2"/>
  <c r="I56" i="2"/>
  <c r="H56" i="2"/>
  <c r="G56" i="2"/>
  <c r="F56" i="2"/>
  <c r="E56" i="2"/>
  <c r="D56" i="2"/>
  <c r="C56" i="2"/>
  <c r="B56" i="2"/>
  <c r="M47" i="2"/>
  <c r="L47" i="2"/>
  <c r="K47" i="2"/>
  <c r="J47" i="2"/>
  <c r="I47" i="2"/>
  <c r="H47" i="2"/>
  <c r="G47" i="2"/>
  <c r="F47" i="2"/>
  <c r="E47" i="2"/>
  <c r="D47" i="2"/>
  <c r="C47" i="2"/>
  <c r="B47" i="2"/>
  <c r="M38" i="2"/>
  <c r="L38" i="2"/>
  <c r="K38" i="2"/>
  <c r="J38" i="2"/>
  <c r="I38" i="2"/>
  <c r="H38" i="2"/>
  <c r="G38" i="2"/>
  <c r="F38" i="2"/>
  <c r="E38" i="2"/>
  <c r="D38" i="2"/>
  <c r="C38" i="2"/>
  <c r="B38" i="2"/>
  <c r="M29" i="2"/>
  <c r="L29" i="2"/>
  <c r="K29" i="2"/>
  <c r="J29" i="2"/>
  <c r="I29" i="2"/>
  <c r="H29" i="2"/>
  <c r="G29" i="2"/>
  <c r="F29" i="2"/>
  <c r="E29" i="2"/>
  <c r="D29" i="2"/>
  <c r="C29" i="2"/>
  <c r="B29" i="2"/>
  <c r="M20" i="2"/>
  <c r="L20" i="2"/>
  <c r="K20" i="2"/>
  <c r="J20" i="2"/>
  <c r="I20" i="2"/>
  <c r="H20" i="2"/>
  <c r="G20" i="2"/>
  <c r="F20" i="2"/>
  <c r="E20" i="2"/>
  <c r="D20" i="2"/>
  <c r="C20" i="2"/>
  <c r="B20" i="2"/>
  <c r="M11" i="2"/>
  <c r="L11" i="2"/>
  <c r="K11" i="2"/>
  <c r="J11" i="2"/>
  <c r="I11" i="2"/>
  <c r="H11" i="2"/>
  <c r="G11" i="2"/>
  <c r="F11" i="2"/>
  <c r="E11" i="2"/>
  <c r="D11" i="2"/>
  <c r="C11" i="2"/>
  <c r="B11" i="2"/>
  <c r="M182" i="1"/>
  <c r="L182" i="1"/>
  <c r="K182" i="1"/>
  <c r="J182" i="1"/>
  <c r="I182" i="1"/>
  <c r="H182" i="1"/>
  <c r="G182" i="1"/>
  <c r="F182" i="1"/>
  <c r="E182" i="1"/>
  <c r="D182" i="1"/>
  <c r="C182" i="1"/>
  <c r="B182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M92" i="1"/>
  <c r="L92" i="1"/>
  <c r="K92" i="1"/>
  <c r="J92" i="1"/>
  <c r="I92" i="1"/>
  <c r="H92" i="1"/>
  <c r="G92" i="1"/>
  <c r="F92" i="1"/>
  <c r="E92" i="1"/>
  <c r="D92" i="1"/>
  <c r="C92" i="1"/>
  <c r="B92" i="1"/>
  <c r="M83" i="1"/>
  <c r="L83" i="1"/>
  <c r="K83" i="1"/>
  <c r="J83" i="1"/>
  <c r="I83" i="1"/>
  <c r="H83" i="1"/>
  <c r="G83" i="1"/>
  <c r="F83" i="1"/>
  <c r="E83" i="1"/>
  <c r="D83" i="1"/>
  <c r="C83" i="1"/>
  <c r="B83" i="1"/>
  <c r="M74" i="1"/>
  <c r="L74" i="1"/>
  <c r="K74" i="1"/>
  <c r="J74" i="1"/>
  <c r="I74" i="1"/>
  <c r="H74" i="1"/>
  <c r="G74" i="1"/>
  <c r="F74" i="1"/>
  <c r="E74" i="1"/>
  <c r="D74" i="1"/>
  <c r="C74" i="1"/>
  <c r="B74" i="1"/>
  <c r="M65" i="1"/>
  <c r="L65" i="1"/>
  <c r="K65" i="1"/>
  <c r="J65" i="1"/>
  <c r="I65" i="1"/>
  <c r="H65" i="1"/>
  <c r="G65" i="1"/>
  <c r="F65" i="1"/>
  <c r="E65" i="1"/>
  <c r="D65" i="1"/>
  <c r="C65" i="1"/>
  <c r="B65" i="1"/>
  <c r="M56" i="1"/>
  <c r="L56" i="1"/>
  <c r="K56" i="1"/>
  <c r="J56" i="1"/>
  <c r="I56" i="1"/>
  <c r="H56" i="1"/>
  <c r="G56" i="1"/>
  <c r="F56" i="1"/>
  <c r="E56" i="1"/>
  <c r="D56" i="1"/>
  <c r="C56" i="1"/>
  <c r="B56" i="1"/>
  <c r="M47" i="1"/>
  <c r="L47" i="1"/>
  <c r="K47" i="1"/>
  <c r="J47" i="1"/>
  <c r="I47" i="1"/>
  <c r="H47" i="1"/>
  <c r="G47" i="1"/>
  <c r="F47" i="1"/>
  <c r="E47" i="1"/>
  <c r="D47" i="1"/>
  <c r="C47" i="1"/>
  <c r="B47" i="1"/>
  <c r="M38" i="1"/>
  <c r="L38" i="1"/>
  <c r="K38" i="1"/>
  <c r="J38" i="1"/>
  <c r="I38" i="1"/>
  <c r="H38" i="1"/>
  <c r="G38" i="1"/>
  <c r="F38" i="1"/>
  <c r="E38" i="1"/>
  <c r="D38" i="1"/>
  <c r="C38" i="1"/>
  <c r="B38" i="1"/>
  <c r="M29" i="1"/>
  <c r="L29" i="1"/>
  <c r="K29" i="1"/>
  <c r="J29" i="1"/>
  <c r="I29" i="1"/>
  <c r="H29" i="1"/>
  <c r="G29" i="1"/>
  <c r="F29" i="1"/>
  <c r="E29" i="1"/>
  <c r="D29" i="1"/>
  <c r="C29" i="1"/>
  <c r="B29" i="1"/>
  <c r="M20" i="1"/>
  <c r="L20" i="1"/>
  <c r="K20" i="1"/>
  <c r="J20" i="1"/>
  <c r="I20" i="1"/>
  <c r="H20" i="1"/>
  <c r="G20" i="1"/>
  <c r="F20" i="1"/>
  <c r="E20" i="1"/>
  <c r="D20" i="1"/>
  <c r="C20" i="1"/>
  <c r="B20" i="1"/>
  <c r="M11" i="1"/>
  <c r="L11" i="1"/>
  <c r="K11" i="1"/>
  <c r="J11" i="1"/>
  <c r="I11" i="1"/>
  <c r="H11" i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<sst xmlns="http://schemas.openxmlformats.org/spreadsheetml/2006/main" count="1398" uniqueCount="71">
  <si>
    <t>Test Case</t>
  </si>
  <si>
    <t>Test Case 01</t>
  </si>
  <si>
    <t>Adding .txt file of size around 5 Kb</t>
  </si>
  <si>
    <t>Execution Date and Time</t>
  </si>
  <si>
    <t>Label</t>
  </si>
  <si>
    <t># Samples</t>
  </si>
  <si>
    <t>Error %</t>
  </si>
  <si>
    <t>Throughput /min</t>
  </si>
  <si>
    <t>Received KB/sec</t>
  </si>
  <si>
    <t>Sent KB/sec</t>
  </si>
  <si>
    <t>Average</t>
  </si>
  <si>
    <t>Median</t>
  </si>
  <si>
    <t>90% Line</t>
  </si>
  <si>
    <t>95% Line</t>
  </si>
  <si>
    <t>99% Line</t>
  </si>
  <si>
    <t>Min</t>
  </si>
  <si>
    <t>Max</t>
  </si>
  <si>
    <t>Comment</t>
  </si>
  <si>
    <t>AddDocumentAsync</t>
  </si>
  <si>
    <t>GetDocuments</t>
  </si>
  <si>
    <t>GetDocumentChunkIds</t>
  </si>
  <si>
    <t>GetChunkText</t>
  </si>
  <si>
    <t>TOTAL</t>
  </si>
  <si>
    <t>Test Case 02</t>
  </si>
  <si>
    <t>Adding .pdf file of size around 83 Kb</t>
  </si>
  <si>
    <t>Test Case 03</t>
  </si>
  <si>
    <t>Adding .docx file of size around 120 Kb</t>
  </si>
  <si>
    <t>Test Case 04</t>
  </si>
  <si>
    <t>Adding .pdf file of size around 250 Kb</t>
  </si>
  <si>
    <t>Test Case 05</t>
  </si>
  <si>
    <t>Adding .pptx file of size around 500 Kb</t>
  </si>
  <si>
    <t>Test Case 06</t>
  </si>
  <si>
    <t>Adding .xlsx file of size around 75 Kb</t>
  </si>
  <si>
    <t>Test Case 07</t>
  </si>
  <si>
    <t>Adding .pdf file of size around 1 Mb</t>
  </si>
  <si>
    <t>Test Case 08</t>
  </si>
  <si>
    <t>Adding .docx file of size around 2 Mb</t>
  </si>
  <si>
    <t>Test Case 09</t>
  </si>
  <si>
    <t>Adding .txt file of size around 50 Kb</t>
  </si>
  <si>
    <t>Test Case 10</t>
  </si>
  <si>
    <t>Adding .pdf file of size around 5 Mb</t>
  </si>
  <si>
    <t>Test Case 11</t>
  </si>
  <si>
    <t>Retrieving document list with 10 records</t>
  </si>
  <si>
    <t>Test Case 12</t>
  </si>
  <si>
    <t>Retrieving document list with 50 records</t>
  </si>
  <si>
    <t>Test Case 13</t>
  </si>
  <si>
    <t>Retrieving document list with 100 records</t>
  </si>
  <si>
    <t>Test Case 14</t>
  </si>
  <si>
    <t>Fetching chunk IDs for small document</t>
  </si>
  <si>
    <t>Test Case 15</t>
  </si>
  <si>
    <t>Fetching chunk IDs for large document</t>
  </si>
  <si>
    <t>Test Case 16</t>
  </si>
  <si>
    <t>Fetching chunk text — short paragraph</t>
  </si>
  <si>
    <t>Test Case 17</t>
  </si>
  <si>
    <t>Fetching chunk text — long paragraph</t>
  </si>
  <si>
    <t>Test Case 18</t>
  </si>
  <si>
    <t>Concurrent upload of 5 documents</t>
  </si>
  <si>
    <t>Test Case 19</t>
  </si>
  <si>
    <t>Concurrent upload of 10 documents</t>
  </si>
  <si>
    <t>Test Case 20</t>
  </si>
  <si>
    <t>Stress test — 50 simultaneous requests</t>
  </si>
  <si>
    <t>System Information</t>
  </si>
  <si>
    <t>MediaTek</t>
  </si>
  <si>
    <t>Exynos</t>
  </si>
  <si>
    <t>Snapdragon</t>
  </si>
  <si>
    <t>Traget service</t>
  </si>
  <si>
    <t>Doc analysis service</t>
  </si>
  <si>
    <t>App Version</t>
  </si>
  <si>
    <t>1.2.3.4.5</t>
  </si>
  <si>
    <t>11.22.33.44</t>
  </si>
  <si>
    <t>111.222.333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</si>
</sst>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A6FBF"/>
        <bgColor rgb="FF3366FF"/>
      </patternFill>
    </fill>
    <fill>
      <patternFill patternType="solid">
        <fgColor rgb="FFF0F0F0"/>
        <bgColor rgb="FFEAF2FB"/>
      </patternFill>
    </fill>
    <fill>
      <patternFill patternType="solid">
        <fgColor rgb="FFFFFDE7"/>
        <bgColor rgb="FFFFFFFF"/>
      </patternFill>
    </fill>
    <fill>
      <patternFill patternType="solid">
        <fgColor rgb="FFEAF2FB"/>
        <bgColor rgb="FFE8F5EE"/>
      </patternFill>
    </fill>
    <fill>
      <patternFill patternType="solid">
        <fgColor rgb="FFFFFFFF"/>
        <bgColor rgb="FFFFFDE7"/>
      </patternFill>
    </fill>
    <fill>
      <patternFill patternType="solid">
        <fgColor rgb="FF1E7A4A"/>
        <bgColor rgb="FF008080"/>
      </patternFill>
    </fill>
    <fill>
      <patternFill patternType="solid">
        <fgColor rgb="FFE8F5EE"/>
        <bgColor rgb="FFEAF2FB"/>
      </patternFill>
    </fill>
    <fill>
      <patternFill patternType="solid">
        <fgColor rgb="FF7B2FBE"/>
        <bgColor rgb="FF993366"/>
      </patternFill>
    </fill>
    <fill>
      <patternFill patternType="solid">
        <fgColor rgb="FFF3E8FB"/>
        <bgColor rgb="FFF0F0F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9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 indent="1"/>
    </xf>
    <xf numFmtId="0" fontId="1" fillId="9" borderId="3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A"/>
      <rgbColor rgb="FFCCCCCC"/>
      <rgbColor rgb="FF888888"/>
      <rgbColor rgb="FF9999FF"/>
      <rgbColor rgb="FF7B2FBE"/>
      <rgbColor rgb="FFFFFDE7"/>
      <rgbColor rgb="FFE8F5EE"/>
      <rgbColor rgb="FF660066"/>
      <rgbColor rgb="FFFF8080"/>
      <rgbColor rgb="FF1A6FBF"/>
      <rgbColor rgb="FFF3E8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zoomScaleNormal="100" workbookViewId="0">
      <selection activeCell="B3" sqref="B3"/>
    </sheetView>
  </sheetViews>
  <sheetFormatPr defaultColWidth="8.6328125" defaultRowHeight="14.5" x14ac:dyDescent="0.35"/>
  <cols>
    <col min="1" max="1" width="24" customWidth="1"/>
    <col min="2" max="2" width="12" customWidth="1"/>
    <col min="3" max="3" width="10" customWidth="1"/>
    <col min="4" max="4" width="16" customWidth="1"/>
    <col min="5" max="5" width="18" customWidth="1"/>
    <col min="6" max="6" width="14" customWidth="1"/>
    <col min="7" max="11" width="12" customWidth="1"/>
    <col min="12" max="13" width="10" customWidth="1"/>
    <col min="14" max="14" width="18" customWidth="1"/>
  </cols>
  <sheetData>
    <row r="1" spans="1:14" x14ac:dyDescent="0.35">
      <c r="A1" t="s">
        <v>65</v>
      </c>
      <c r="B1" t="s">
        <v>66</v>
      </c>
    </row>
    <row r="2" spans="1:14" x14ac:dyDescent="0.35">
      <c r="A2" t="s">
        <v>61</v>
      </c>
      <c r="B2" t="s">
        <v>64</v>
      </c>
    </row>
    <row r="3" spans="1:14" x14ac:dyDescent="0.35">
      <c r="A3" s="24" t="s">
        <v>67</v>
      </c>
      <c r="B3" s="24" t="s">
        <v>69</v>
      </c>
    </row>
    <row r="4" spans="1:14" ht="19.5" customHeight="1" x14ac:dyDescent="0.35">
      <c r="A4" s="6" t="s">
        <v>0</v>
      </c>
      <c r="B4" s="6"/>
      <c r="C4" s="6"/>
      <c r="D4" s="5" t="s">
        <v>1</v>
      </c>
      <c r="E4" s="5"/>
      <c r="F4" s="5"/>
      <c r="G4" s="5"/>
      <c r="H4" s="4" t="s">
        <v>2</v>
      </c>
      <c r="I4" s="4"/>
      <c r="J4" s="4"/>
      <c r="K4" s="4"/>
      <c r="L4" s="4"/>
      <c r="M4" s="4"/>
      <c r="N4" s="4"/>
    </row>
    <row r="5" spans="1:14" ht="19.5" customHeight="1" x14ac:dyDescent="0.35">
      <c r="A5" s="6" t="s">
        <v>3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7.75" customHeight="1" x14ac:dyDescent="0.3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</row>
    <row r="7" spans="1:14" ht="18" customHeight="1" x14ac:dyDescent="0.35">
      <c r="A7" s="8" t="s">
        <v>18</v>
      </c>
      <c r="B7" s="9">
        <v>1531</v>
      </c>
      <c r="C7" s="9">
        <v>3.3</v>
      </c>
      <c r="D7" s="9">
        <v>329</v>
      </c>
      <c r="E7" s="9">
        <v>114.8</v>
      </c>
      <c r="F7" s="9">
        <v>29</v>
      </c>
      <c r="G7" s="9">
        <v>184</v>
      </c>
      <c r="H7" s="9">
        <v>173</v>
      </c>
      <c r="I7" s="9">
        <v>358</v>
      </c>
      <c r="J7" s="9">
        <v>401</v>
      </c>
      <c r="K7" s="9">
        <v>545</v>
      </c>
      <c r="L7" s="9">
        <v>127</v>
      </c>
      <c r="M7" s="9">
        <v>599</v>
      </c>
      <c r="N7" s="9"/>
    </row>
    <row r="8" spans="1:14" ht="18" customHeight="1" x14ac:dyDescent="0.35">
      <c r="A8" s="10" t="s">
        <v>19</v>
      </c>
      <c r="B8" s="11">
        <v>1288</v>
      </c>
      <c r="C8" s="11">
        <v>1.8</v>
      </c>
      <c r="D8" s="11">
        <v>264</v>
      </c>
      <c r="E8" s="11">
        <v>119.1</v>
      </c>
      <c r="F8" s="11">
        <v>22.2</v>
      </c>
      <c r="G8" s="11">
        <v>371</v>
      </c>
      <c r="H8" s="11">
        <v>294</v>
      </c>
      <c r="I8" s="11">
        <v>486</v>
      </c>
      <c r="J8" s="11">
        <v>586</v>
      </c>
      <c r="K8" s="11">
        <v>694</v>
      </c>
      <c r="L8" s="11">
        <v>180</v>
      </c>
      <c r="M8" s="11">
        <v>824</v>
      </c>
      <c r="N8" s="11"/>
    </row>
    <row r="9" spans="1:14" ht="18" customHeight="1" x14ac:dyDescent="0.35">
      <c r="A9" s="8" t="s">
        <v>20</v>
      </c>
      <c r="B9" s="9">
        <v>1796</v>
      </c>
      <c r="C9" s="9">
        <v>3.3</v>
      </c>
      <c r="D9" s="9">
        <v>365.4</v>
      </c>
      <c r="E9" s="9">
        <v>149.69999999999999</v>
      </c>
      <c r="F9" s="9">
        <v>31.6</v>
      </c>
      <c r="G9" s="9">
        <v>171</v>
      </c>
      <c r="H9" s="9">
        <v>167</v>
      </c>
      <c r="I9" s="9">
        <v>288</v>
      </c>
      <c r="J9" s="9">
        <v>346</v>
      </c>
      <c r="K9" s="9">
        <v>479</v>
      </c>
      <c r="L9" s="9">
        <v>118</v>
      </c>
      <c r="M9" s="9">
        <v>598</v>
      </c>
      <c r="N9" s="9"/>
    </row>
    <row r="10" spans="1:14" ht="18" customHeight="1" x14ac:dyDescent="0.35">
      <c r="A10" s="10" t="s">
        <v>21</v>
      </c>
      <c r="B10" s="11">
        <v>1320</v>
      </c>
      <c r="C10" s="11">
        <v>2.2000000000000002</v>
      </c>
      <c r="D10" s="11">
        <v>362.1</v>
      </c>
      <c r="E10" s="11">
        <v>178.2</v>
      </c>
      <c r="F10" s="11">
        <v>16.8</v>
      </c>
      <c r="G10" s="11">
        <v>306</v>
      </c>
      <c r="H10" s="11">
        <v>198</v>
      </c>
      <c r="I10" s="11">
        <v>453</v>
      </c>
      <c r="J10" s="11">
        <v>499</v>
      </c>
      <c r="K10" s="11">
        <v>649</v>
      </c>
      <c r="L10" s="11">
        <v>191</v>
      </c>
      <c r="M10" s="11">
        <v>707</v>
      </c>
      <c r="N10" s="11"/>
    </row>
    <row r="11" spans="1:14" ht="19.5" customHeight="1" x14ac:dyDescent="0.35">
      <c r="A11" s="12" t="s">
        <v>22</v>
      </c>
      <c r="B11" s="13">
        <f>SUM(B7:B10)</f>
        <v>5935</v>
      </c>
      <c r="C11" s="13">
        <f>AVERAGE(C7:C10)</f>
        <v>2.6499999999999995</v>
      </c>
      <c r="D11" s="13">
        <f>SUM(D7:D10)</f>
        <v>1320.5</v>
      </c>
      <c r="E11" s="13">
        <f>SUM(E7:E10)</f>
        <v>561.79999999999995</v>
      </c>
      <c r="F11" s="13">
        <f>SUM(F7:F10)</f>
        <v>99.600000000000009</v>
      </c>
      <c r="G11" s="13">
        <f>AVERAGE(G7:G10)</f>
        <v>258</v>
      </c>
      <c r="H11" s="13">
        <f>AVERAGE(H7:H10)</f>
        <v>208</v>
      </c>
      <c r="I11" s="13">
        <f>MAX(I7:I10)</f>
        <v>486</v>
      </c>
      <c r="J11" s="13">
        <f>MAX(J7:J10)</f>
        <v>586</v>
      </c>
      <c r="K11" s="13">
        <f>MAX(K7:K10)</f>
        <v>694</v>
      </c>
      <c r="L11" s="13">
        <f>MIN(L7:L10)</f>
        <v>118</v>
      </c>
      <c r="M11" s="13">
        <f>MAX(M7:M10)</f>
        <v>824</v>
      </c>
      <c r="N11" s="13"/>
    </row>
    <row r="12" spans="1:14" ht="7.5" customHeight="1" x14ac:dyDescent="0.35"/>
    <row r="13" spans="1:14" ht="19.5" customHeight="1" x14ac:dyDescent="0.35">
      <c r="A13" s="6" t="s">
        <v>0</v>
      </c>
      <c r="B13" s="6"/>
      <c r="C13" s="6"/>
      <c r="D13" s="5" t="s">
        <v>23</v>
      </c>
      <c r="E13" s="5"/>
      <c r="F13" s="5"/>
      <c r="G13" s="5"/>
      <c r="H13" s="4" t="s">
        <v>24</v>
      </c>
      <c r="I13" s="4"/>
      <c r="J13" s="4"/>
      <c r="K13" s="4"/>
      <c r="L13" s="4"/>
      <c r="M13" s="4"/>
      <c r="N13" s="4"/>
    </row>
    <row r="14" spans="1:14" ht="19.5" customHeight="1" x14ac:dyDescent="0.35">
      <c r="A14" s="6" t="s">
        <v>3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7.75" customHeight="1" x14ac:dyDescent="0.35">
      <c r="A15" s="7" t="s">
        <v>4</v>
      </c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H15" s="7" t="s">
        <v>11</v>
      </c>
      <c r="I15" s="7" t="s">
        <v>12</v>
      </c>
      <c r="J15" s="7" t="s">
        <v>13</v>
      </c>
      <c r="K15" s="7" t="s">
        <v>14</v>
      </c>
      <c r="L15" s="7" t="s">
        <v>15</v>
      </c>
      <c r="M15" s="7" t="s">
        <v>16</v>
      </c>
      <c r="N15" s="7" t="s">
        <v>17</v>
      </c>
    </row>
    <row r="16" spans="1:14" ht="18" customHeight="1" x14ac:dyDescent="0.35">
      <c r="A16" s="8" t="s">
        <v>18</v>
      </c>
      <c r="B16" s="9">
        <v>1309</v>
      </c>
      <c r="C16" s="9">
        <v>2.2999999999999998</v>
      </c>
      <c r="D16" s="9">
        <v>401</v>
      </c>
      <c r="E16" s="9">
        <v>162.69999999999999</v>
      </c>
      <c r="F16" s="9">
        <v>19.2</v>
      </c>
      <c r="G16" s="9">
        <v>348</v>
      </c>
      <c r="H16" s="9">
        <v>215</v>
      </c>
      <c r="I16" s="9">
        <v>485</v>
      </c>
      <c r="J16" s="9">
        <v>571</v>
      </c>
      <c r="K16" s="9">
        <v>660</v>
      </c>
      <c r="L16" s="9">
        <v>184</v>
      </c>
      <c r="M16" s="9">
        <v>767</v>
      </c>
      <c r="N16" s="9"/>
    </row>
    <row r="17" spans="1:14" ht="18" customHeight="1" x14ac:dyDescent="0.35">
      <c r="A17" s="10" t="s">
        <v>19</v>
      </c>
      <c r="B17" s="11">
        <v>1510</v>
      </c>
      <c r="C17" s="11">
        <v>1.9</v>
      </c>
      <c r="D17" s="11">
        <v>424.6</v>
      </c>
      <c r="E17" s="11">
        <v>149.4</v>
      </c>
      <c r="F17" s="11">
        <v>30.5</v>
      </c>
      <c r="G17" s="11">
        <v>227</v>
      </c>
      <c r="H17" s="11">
        <v>178</v>
      </c>
      <c r="I17" s="11">
        <v>367</v>
      </c>
      <c r="J17" s="11">
        <v>429</v>
      </c>
      <c r="K17" s="11">
        <v>542</v>
      </c>
      <c r="L17" s="11">
        <v>146</v>
      </c>
      <c r="M17" s="11">
        <v>672</v>
      </c>
      <c r="N17" s="11"/>
    </row>
    <row r="18" spans="1:14" ht="18" customHeight="1" x14ac:dyDescent="0.35">
      <c r="A18" s="8" t="s">
        <v>20</v>
      </c>
      <c r="B18" s="9">
        <v>1846</v>
      </c>
      <c r="C18" s="9">
        <v>2</v>
      </c>
      <c r="D18" s="9">
        <v>282.2</v>
      </c>
      <c r="E18" s="9">
        <v>176.5</v>
      </c>
      <c r="F18" s="9">
        <v>19.7</v>
      </c>
      <c r="G18" s="9">
        <v>162</v>
      </c>
      <c r="H18" s="9">
        <v>160</v>
      </c>
      <c r="I18" s="9">
        <v>270</v>
      </c>
      <c r="J18" s="9">
        <v>317</v>
      </c>
      <c r="K18" s="9">
        <v>473</v>
      </c>
      <c r="L18" s="9">
        <v>143</v>
      </c>
      <c r="M18" s="9">
        <v>526</v>
      </c>
      <c r="N18" s="9"/>
    </row>
    <row r="19" spans="1:14" ht="18" customHeight="1" x14ac:dyDescent="0.35">
      <c r="A19" s="10" t="s">
        <v>21</v>
      </c>
      <c r="B19" s="11">
        <v>1285</v>
      </c>
      <c r="C19" s="11">
        <v>1.3</v>
      </c>
      <c r="D19" s="11">
        <v>420.8</v>
      </c>
      <c r="E19" s="11">
        <v>148.19999999999999</v>
      </c>
      <c r="F19" s="11">
        <v>24.9</v>
      </c>
      <c r="G19" s="11">
        <v>272</v>
      </c>
      <c r="H19" s="11">
        <v>264</v>
      </c>
      <c r="I19" s="11">
        <v>449</v>
      </c>
      <c r="J19" s="11">
        <v>495</v>
      </c>
      <c r="K19" s="11">
        <v>589</v>
      </c>
      <c r="L19" s="11">
        <v>174</v>
      </c>
      <c r="M19" s="11">
        <v>714</v>
      </c>
      <c r="N19" s="11"/>
    </row>
    <row r="20" spans="1:14" ht="19.5" customHeight="1" x14ac:dyDescent="0.35">
      <c r="A20" s="12" t="s">
        <v>22</v>
      </c>
      <c r="B20" s="13">
        <f>SUM(B16:B19)</f>
        <v>5950</v>
      </c>
      <c r="C20" s="13">
        <f>AVERAGE(C16:C19)</f>
        <v>1.8749999999999998</v>
      </c>
      <c r="D20" s="13">
        <f>SUM(D16:D19)</f>
        <v>1528.6</v>
      </c>
      <c r="E20" s="13">
        <f>SUM(E16:E19)</f>
        <v>636.79999999999995</v>
      </c>
      <c r="F20" s="13">
        <f>SUM(F16:F19)</f>
        <v>94.300000000000011</v>
      </c>
      <c r="G20" s="13">
        <f>AVERAGE(G16:G19)</f>
        <v>252.25</v>
      </c>
      <c r="H20" s="13">
        <f>AVERAGE(H16:H19)</f>
        <v>204.25</v>
      </c>
      <c r="I20" s="13">
        <f>MAX(I16:I19)</f>
        <v>485</v>
      </c>
      <c r="J20" s="13">
        <f>MAX(J16:J19)</f>
        <v>571</v>
      </c>
      <c r="K20" s="13">
        <f>MAX(K16:K19)</f>
        <v>660</v>
      </c>
      <c r="L20" s="13">
        <f>MIN(L16:L19)</f>
        <v>143</v>
      </c>
      <c r="M20" s="13">
        <f>MAX(M16:M19)</f>
        <v>767</v>
      </c>
      <c r="N20" s="13"/>
    </row>
    <row r="21" spans="1:14" ht="7.5" customHeight="1" x14ac:dyDescent="0.35"/>
    <row r="22" spans="1:14" ht="19.5" customHeight="1" x14ac:dyDescent="0.35">
      <c r="A22" s="6" t="s">
        <v>0</v>
      </c>
      <c r="B22" s="6"/>
      <c r="C22" s="6"/>
      <c r="D22" s="5" t="s">
        <v>25</v>
      </c>
      <c r="E22" s="5"/>
      <c r="F22" s="5"/>
      <c r="G22" s="5"/>
      <c r="H22" s="4" t="s">
        <v>26</v>
      </c>
      <c r="I22" s="4"/>
      <c r="J22" s="4"/>
      <c r="K22" s="4"/>
      <c r="L22" s="4"/>
      <c r="M22" s="4"/>
      <c r="N22" s="4"/>
    </row>
    <row r="23" spans="1:14" ht="19.5" customHeight="1" x14ac:dyDescent="0.35">
      <c r="A23" s="6" t="s">
        <v>3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7.75" customHeight="1" x14ac:dyDescent="0.35">
      <c r="A24" s="7" t="s">
        <v>4</v>
      </c>
      <c r="B24" s="7" t="s">
        <v>5</v>
      </c>
      <c r="C24" s="7" t="s">
        <v>6</v>
      </c>
      <c r="D24" s="7" t="s">
        <v>7</v>
      </c>
      <c r="E24" s="7" t="s">
        <v>8</v>
      </c>
      <c r="F24" s="7" t="s">
        <v>9</v>
      </c>
      <c r="G24" s="7" t="s">
        <v>10</v>
      </c>
      <c r="H24" s="7" t="s">
        <v>11</v>
      </c>
      <c r="I24" s="7" t="s">
        <v>12</v>
      </c>
      <c r="J24" s="7" t="s">
        <v>13</v>
      </c>
      <c r="K24" s="7" t="s">
        <v>14</v>
      </c>
      <c r="L24" s="7" t="s">
        <v>15</v>
      </c>
      <c r="M24" s="7" t="s">
        <v>16</v>
      </c>
      <c r="N24" s="7" t="s">
        <v>17</v>
      </c>
    </row>
    <row r="25" spans="1:14" ht="18" customHeight="1" x14ac:dyDescent="0.35">
      <c r="A25" s="8" t="s">
        <v>18</v>
      </c>
      <c r="B25" s="9">
        <v>1368</v>
      </c>
      <c r="C25" s="9">
        <v>1.8</v>
      </c>
      <c r="D25" s="9">
        <v>333.6</v>
      </c>
      <c r="E25" s="9">
        <v>138.1</v>
      </c>
      <c r="F25" s="9">
        <v>29.3</v>
      </c>
      <c r="G25" s="9">
        <v>362</v>
      </c>
      <c r="H25" s="9">
        <v>271</v>
      </c>
      <c r="I25" s="9">
        <v>527</v>
      </c>
      <c r="J25" s="9">
        <v>578</v>
      </c>
      <c r="K25" s="9">
        <v>722</v>
      </c>
      <c r="L25" s="9">
        <v>167</v>
      </c>
      <c r="M25" s="9">
        <v>802</v>
      </c>
      <c r="N25" s="9"/>
    </row>
    <row r="26" spans="1:14" ht="18" customHeight="1" x14ac:dyDescent="0.35">
      <c r="A26" s="10" t="s">
        <v>19</v>
      </c>
      <c r="B26" s="11">
        <v>2007</v>
      </c>
      <c r="C26" s="11">
        <v>0.5</v>
      </c>
      <c r="D26" s="11">
        <v>324.2</v>
      </c>
      <c r="E26" s="11">
        <v>168.5</v>
      </c>
      <c r="F26" s="11">
        <v>16.2</v>
      </c>
      <c r="G26" s="11">
        <v>363</v>
      </c>
      <c r="H26" s="11">
        <v>342</v>
      </c>
      <c r="I26" s="11">
        <v>492</v>
      </c>
      <c r="J26" s="11">
        <v>590</v>
      </c>
      <c r="K26" s="11">
        <v>699</v>
      </c>
      <c r="L26" s="11">
        <v>188</v>
      </c>
      <c r="M26" s="11">
        <v>754</v>
      </c>
      <c r="N26" s="11"/>
    </row>
    <row r="27" spans="1:14" ht="18" customHeight="1" x14ac:dyDescent="0.35">
      <c r="A27" s="8" t="s">
        <v>20</v>
      </c>
      <c r="B27" s="9">
        <v>1647</v>
      </c>
      <c r="C27" s="9">
        <v>3.5</v>
      </c>
      <c r="D27" s="9">
        <v>397.7</v>
      </c>
      <c r="E27" s="9">
        <v>197.5</v>
      </c>
      <c r="F27" s="9">
        <v>25.5</v>
      </c>
      <c r="G27" s="9">
        <v>168</v>
      </c>
      <c r="H27" s="9">
        <v>160</v>
      </c>
      <c r="I27" s="9">
        <v>337</v>
      </c>
      <c r="J27" s="9">
        <v>408</v>
      </c>
      <c r="K27" s="9">
        <v>502</v>
      </c>
      <c r="L27" s="9">
        <v>183</v>
      </c>
      <c r="M27" s="9">
        <v>599</v>
      </c>
      <c r="N27" s="9"/>
    </row>
    <row r="28" spans="1:14" ht="18" customHeight="1" x14ac:dyDescent="0.35">
      <c r="A28" s="10" t="s">
        <v>21</v>
      </c>
      <c r="B28" s="11">
        <v>1223</v>
      </c>
      <c r="C28" s="11">
        <v>1</v>
      </c>
      <c r="D28" s="11">
        <v>413.5</v>
      </c>
      <c r="E28" s="11">
        <v>122.5</v>
      </c>
      <c r="F28" s="11">
        <v>30.8</v>
      </c>
      <c r="G28" s="11">
        <v>276</v>
      </c>
      <c r="H28" s="11">
        <v>170</v>
      </c>
      <c r="I28" s="11">
        <v>446</v>
      </c>
      <c r="J28" s="11">
        <v>532</v>
      </c>
      <c r="K28" s="11">
        <v>655</v>
      </c>
      <c r="L28" s="11">
        <v>151</v>
      </c>
      <c r="M28" s="11">
        <v>767</v>
      </c>
      <c r="N28" s="11"/>
    </row>
    <row r="29" spans="1:14" ht="19.5" customHeight="1" x14ac:dyDescent="0.35">
      <c r="A29" s="12" t="s">
        <v>22</v>
      </c>
      <c r="B29" s="13">
        <f>SUM(B25:B28)</f>
        <v>6245</v>
      </c>
      <c r="C29" s="13">
        <f>AVERAGE(C25:C28)</f>
        <v>1.7</v>
      </c>
      <c r="D29" s="13">
        <f>SUM(D25:D28)</f>
        <v>1469</v>
      </c>
      <c r="E29" s="13">
        <f>SUM(E25:E28)</f>
        <v>626.6</v>
      </c>
      <c r="F29" s="13">
        <f>SUM(F25:F28)</f>
        <v>101.8</v>
      </c>
      <c r="G29" s="13">
        <f>AVERAGE(G25:G28)</f>
        <v>292.25</v>
      </c>
      <c r="H29" s="13">
        <f>AVERAGE(H25:H28)</f>
        <v>235.75</v>
      </c>
      <c r="I29" s="13">
        <f>MAX(I25:I28)</f>
        <v>527</v>
      </c>
      <c r="J29" s="13">
        <f>MAX(J25:J28)</f>
        <v>590</v>
      </c>
      <c r="K29" s="13">
        <f>MAX(K25:K28)</f>
        <v>722</v>
      </c>
      <c r="L29" s="13">
        <f>MIN(L25:L28)</f>
        <v>151</v>
      </c>
      <c r="M29" s="13">
        <f>MAX(M25:M28)</f>
        <v>802</v>
      </c>
      <c r="N29" s="13"/>
    </row>
    <row r="30" spans="1:14" ht="7.5" customHeight="1" x14ac:dyDescent="0.35"/>
    <row r="31" spans="1:14" ht="19.5" customHeight="1" x14ac:dyDescent="0.35">
      <c r="A31" s="6" t="s">
        <v>0</v>
      </c>
      <c r="B31" s="6"/>
      <c r="C31" s="6"/>
      <c r="D31" s="5" t="s">
        <v>27</v>
      </c>
      <c r="E31" s="5"/>
      <c r="F31" s="5"/>
      <c r="G31" s="5"/>
      <c r="H31" s="4" t="s">
        <v>28</v>
      </c>
      <c r="I31" s="4"/>
      <c r="J31" s="4"/>
      <c r="K31" s="4"/>
      <c r="L31" s="4"/>
      <c r="M31" s="4"/>
      <c r="N31" s="4"/>
    </row>
    <row r="32" spans="1:14" ht="19.5" customHeight="1" x14ac:dyDescent="0.35">
      <c r="A32" s="6" t="s">
        <v>3</v>
      </c>
      <c r="B32" s="6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27.75" customHeight="1" x14ac:dyDescent="0.35">
      <c r="A33" s="7" t="s">
        <v>4</v>
      </c>
      <c r="B33" s="7" t="s">
        <v>5</v>
      </c>
      <c r="C33" s="7" t="s">
        <v>6</v>
      </c>
      <c r="D33" s="7" t="s">
        <v>7</v>
      </c>
      <c r="E33" s="7" t="s">
        <v>8</v>
      </c>
      <c r="F33" s="7" t="s">
        <v>9</v>
      </c>
      <c r="G33" s="7" t="s">
        <v>10</v>
      </c>
      <c r="H33" s="7" t="s">
        <v>11</v>
      </c>
      <c r="I33" s="7" t="s">
        <v>12</v>
      </c>
      <c r="J33" s="7" t="s">
        <v>13</v>
      </c>
      <c r="K33" s="7" t="s">
        <v>14</v>
      </c>
      <c r="L33" s="7" t="s">
        <v>15</v>
      </c>
      <c r="M33" s="7" t="s">
        <v>16</v>
      </c>
      <c r="N33" s="7" t="s">
        <v>17</v>
      </c>
    </row>
    <row r="34" spans="1:14" ht="18" customHeight="1" x14ac:dyDescent="0.35">
      <c r="A34" s="8" t="s">
        <v>18</v>
      </c>
      <c r="B34" s="9">
        <v>1315</v>
      </c>
      <c r="C34" s="9">
        <v>2.7</v>
      </c>
      <c r="D34" s="9">
        <v>359.1</v>
      </c>
      <c r="E34" s="9">
        <v>181.2</v>
      </c>
      <c r="F34" s="9">
        <v>18.8</v>
      </c>
      <c r="G34" s="9">
        <v>323</v>
      </c>
      <c r="H34" s="9">
        <v>268</v>
      </c>
      <c r="I34" s="9">
        <v>520</v>
      </c>
      <c r="J34" s="9">
        <v>586</v>
      </c>
      <c r="K34" s="9">
        <v>692</v>
      </c>
      <c r="L34" s="9">
        <v>127</v>
      </c>
      <c r="M34" s="9">
        <v>760</v>
      </c>
      <c r="N34" s="9"/>
    </row>
    <row r="35" spans="1:14" ht="18" customHeight="1" x14ac:dyDescent="0.35">
      <c r="A35" s="10" t="s">
        <v>19</v>
      </c>
      <c r="B35" s="11">
        <v>1601</v>
      </c>
      <c r="C35" s="11">
        <v>1</v>
      </c>
      <c r="D35" s="11">
        <v>441</v>
      </c>
      <c r="E35" s="11">
        <v>170.6</v>
      </c>
      <c r="F35" s="11">
        <v>18.399999999999999</v>
      </c>
      <c r="G35" s="11">
        <v>264</v>
      </c>
      <c r="H35" s="11">
        <v>180</v>
      </c>
      <c r="I35" s="11">
        <v>372</v>
      </c>
      <c r="J35" s="11">
        <v>418</v>
      </c>
      <c r="K35" s="11">
        <v>551</v>
      </c>
      <c r="L35" s="11">
        <v>140</v>
      </c>
      <c r="M35" s="11">
        <v>690</v>
      </c>
      <c r="N35" s="11"/>
    </row>
    <row r="36" spans="1:14" ht="18" customHeight="1" x14ac:dyDescent="0.35">
      <c r="A36" s="8" t="s">
        <v>20</v>
      </c>
      <c r="B36" s="9">
        <v>2045</v>
      </c>
      <c r="C36" s="9">
        <v>0.9</v>
      </c>
      <c r="D36" s="9">
        <v>430.8</v>
      </c>
      <c r="E36" s="9">
        <v>160.6</v>
      </c>
      <c r="F36" s="9">
        <v>26.7</v>
      </c>
      <c r="G36" s="9">
        <v>329</v>
      </c>
      <c r="H36" s="9">
        <v>219</v>
      </c>
      <c r="I36" s="9">
        <v>507</v>
      </c>
      <c r="J36" s="9">
        <v>561</v>
      </c>
      <c r="K36" s="9">
        <v>698</v>
      </c>
      <c r="L36" s="9">
        <v>116</v>
      </c>
      <c r="M36" s="9">
        <v>773</v>
      </c>
      <c r="N36" s="9"/>
    </row>
    <row r="37" spans="1:14" ht="18" customHeight="1" x14ac:dyDescent="0.35">
      <c r="A37" s="10" t="s">
        <v>21</v>
      </c>
      <c r="B37" s="11">
        <v>1213</v>
      </c>
      <c r="C37" s="11">
        <v>3.3</v>
      </c>
      <c r="D37" s="11">
        <v>306.89999999999998</v>
      </c>
      <c r="E37" s="11">
        <v>177.6</v>
      </c>
      <c r="F37" s="11">
        <v>16.3</v>
      </c>
      <c r="G37" s="11">
        <v>296</v>
      </c>
      <c r="H37" s="11">
        <v>221</v>
      </c>
      <c r="I37" s="11">
        <v>488</v>
      </c>
      <c r="J37" s="11">
        <v>535</v>
      </c>
      <c r="K37" s="11">
        <v>688</v>
      </c>
      <c r="L37" s="11">
        <v>153</v>
      </c>
      <c r="M37" s="11">
        <v>759</v>
      </c>
      <c r="N37" s="11"/>
    </row>
    <row r="38" spans="1:14" ht="19.5" customHeight="1" x14ac:dyDescent="0.35">
      <c r="A38" s="12" t="s">
        <v>22</v>
      </c>
      <c r="B38" s="13">
        <f>SUM(B34:B37)</f>
        <v>6174</v>
      </c>
      <c r="C38" s="13">
        <f>AVERAGE(C34:C37)</f>
        <v>1.9750000000000001</v>
      </c>
      <c r="D38" s="13">
        <f>SUM(D34:D37)</f>
        <v>1537.8000000000002</v>
      </c>
      <c r="E38" s="13">
        <f>SUM(E34:E37)</f>
        <v>690</v>
      </c>
      <c r="F38" s="13">
        <f>SUM(F34:F37)</f>
        <v>80.2</v>
      </c>
      <c r="G38" s="13">
        <f>AVERAGE(G34:G37)</f>
        <v>303</v>
      </c>
      <c r="H38" s="13">
        <f>AVERAGE(H34:H37)</f>
        <v>222</v>
      </c>
      <c r="I38" s="13">
        <f>MAX(I34:I37)</f>
        <v>520</v>
      </c>
      <c r="J38" s="13">
        <f>MAX(J34:J37)</f>
        <v>586</v>
      </c>
      <c r="K38" s="13">
        <f>MAX(K34:K37)</f>
        <v>698</v>
      </c>
      <c r="L38" s="13">
        <f>MIN(L34:L37)</f>
        <v>116</v>
      </c>
      <c r="M38" s="13">
        <f>MAX(M34:M37)</f>
        <v>773</v>
      </c>
      <c r="N38" s="13"/>
    </row>
    <row r="39" spans="1:14" ht="7.5" customHeight="1" x14ac:dyDescent="0.35"/>
    <row r="40" spans="1:14" ht="19.5" customHeight="1" x14ac:dyDescent="0.35">
      <c r="A40" s="6" t="s">
        <v>0</v>
      </c>
      <c r="B40" s="6"/>
      <c r="C40" s="6"/>
      <c r="D40" s="5" t="s">
        <v>29</v>
      </c>
      <c r="E40" s="5"/>
      <c r="F40" s="5"/>
      <c r="G40" s="5"/>
      <c r="H40" s="4" t="s">
        <v>30</v>
      </c>
      <c r="I40" s="4"/>
      <c r="J40" s="4"/>
      <c r="K40" s="4"/>
      <c r="L40" s="4"/>
      <c r="M40" s="4"/>
      <c r="N40" s="4"/>
    </row>
    <row r="41" spans="1:14" ht="19.5" customHeight="1" x14ac:dyDescent="0.35">
      <c r="A41" s="6" t="s">
        <v>3</v>
      </c>
      <c r="B41" s="6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27.75" customHeight="1" x14ac:dyDescent="0.35">
      <c r="A42" s="7" t="s">
        <v>4</v>
      </c>
      <c r="B42" s="7" t="s">
        <v>5</v>
      </c>
      <c r="C42" s="7" t="s">
        <v>6</v>
      </c>
      <c r="D42" s="7" t="s">
        <v>7</v>
      </c>
      <c r="E42" s="7" t="s">
        <v>8</v>
      </c>
      <c r="F42" s="7" t="s">
        <v>9</v>
      </c>
      <c r="G42" s="7" t="s">
        <v>10</v>
      </c>
      <c r="H42" s="7" t="s">
        <v>11</v>
      </c>
      <c r="I42" s="7" t="s">
        <v>12</v>
      </c>
      <c r="J42" s="7" t="s">
        <v>13</v>
      </c>
      <c r="K42" s="7" t="s">
        <v>14</v>
      </c>
      <c r="L42" s="7" t="s">
        <v>15</v>
      </c>
      <c r="M42" s="7" t="s">
        <v>16</v>
      </c>
      <c r="N42" s="7" t="s">
        <v>17</v>
      </c>
    </row>
    <row r="43" spans="1:14" ht="18" customHeight="1" x14ac:dyDescent="0.35">
      <c r="A43" s="8" t="s">
        <v>18</v>
      </c>
      <c r="B43" s="9">
        <v>1761</v>
      </c>
      <c r="C43" s="9">
        <v>1.5</v>
      </c>
      <c r="D43" s="9">
        <v>276.3</v>
      </c>
      <c r="E43" s="9">
        <v>144</v>
      </c>
      <c r="F43" s="9">
        <v>17.600000000000001</v>
      </c>
      <c r="G43" s="9">
        <v>270</v>
      </c>
      <c r="H43" s="9">
        <v>182</v>
      </c>
      <c r="I43" s="9">
        <v>442</v>
      </c>
      <c r="J43" s="9">
        <v>485</v>
      </c>
      <c r="K43" s="9">
        <v>632</v>
      </c>
      <c r="L43" s="9">
        <v>196</v>
      </c>
      <c r="M43" s="9">
        <v>717</v>
      </c>
      <c r="N43" s="9"/>
    </row>
    <row r="44" spans="1:14" ht="18" customHeight="1" x14ac:dyDescent="0.35">
      <c r="A44" s="10" t="s">
        <v>19</v>
      </c>
      <c r="B44" s="11">
        <v>1868</v>
      </c>
      <c r="C44" s="11">
        <v>1.6</v>
      </c>
      <c r="D44" s="11">
        <v>393.5</v>
      </c>
      <c r="E44" s="11">
        <v>168.5</v>
      </c>
      <c r="F44" s="11">
        <v>27.8</v>
      </c>
      <c r="G44" s="11">
        <v>253</v>
      </c>
      <c r="H44" s="11">
        <v>151</v>
      </c>
      <c r="I44" s="11">
        <v>418</v>
      </c>
      <c r="J44" s="11">
        <v>458</v>
      </c>
      <c r="K44" s="11">
        <v>550</v>
      </c>
      <c r="L44" s="11">
        <v>192</v>
      </c>
      <c r="M44" s="11">
        <v>663</v>
      </c>
      <c r="N44" s="11"/>
    </row>
    <row r="45" spans="1:14" ht="18" customHeight="1" x14ac:dyDescent="0.35">
      <c r="A45" s="8" t="s">
        <v>20</v>
      </c>
      <c r="B45" s="9">
        <v>1583</v>
      </c>
      <c r="C45" s="9">
        <v>2.7</v>
      </c>
      <c r="D45" s="9">
        <v>318.2</v>
      </c>
      <c r="E45" s="9">
        <v>159.6</v>
      </c>
      <c r="F45" s="9">
        <v>15.4</v>
      </c>
      <c r="G45" s="9">
        <v>243</v>
      </c>
      <c r="H45" s="9">
        <v>160</v>
      </c>
      <c r="I45" s="9">
        <v>363</v>
      </c>
      <c r="J45" s="9">
        <v>424</v>
      </c>
      <c r="K45" s="9">
        <v>525</v>
      </c>
      <c r="L45" s="9">
        <v>172</v>
      </c>
      <c r="M45" s="9">
        <v>584</v>
      </c>
      <c r="N45" s="9"/>
    </row>
    <row r="46" spans="1:14" ht="18" customHeight="1" x14ac:dyDescent="0.35">
      <c r="A46" s="10" t="s">
        <v>21</v>
      </c>
      <c r="B46" s="11">
        <v>1689</v>
      </c>
      <c r="C46" s="11">
        <v>3</v>
      </c>
      <c r="D46" s="11">
        <v>266.60000000000002</v>
      </c>
      <c r="E46" s="11">
        <v>126.1</v>
      </c>
      <c r="F46" s="11">
        <v>16.3</v>
      </c>
      <c r="G46" s="11">
        <v>193</v>
      </c>
      <c r="H46" s="11">
        <v>184</v>
      </c>
      <c r="I46" s="11">
        <v>386</v>
      </c>
      <c r="J46" s="11">
        <v>478</v>
      </c>
      <c r="K46" s="11">
        <v>614</v>
      </c>
      <c r="L46" s="11">
        <v>163</v>
      </c>
      <c r="M46" s="11">
        <v>705</v>
      </c>
      <c r="N46" s="11"/>
    </row>
    <row r="47" spans="1:14" ht="19.5" customHeight="1" x14ac:dyDescent="0.35">
      <c r="A47" s="12" t="s">
        <v>22</v>
      </c>
      <c r="B47" s="13">
        <f>SUM(B43:B46)</f>
        <v>6901</v>
      </c>
      <c r="C47" s="13">
        <f>AVERAGE(C43:C46)</f>
        <v>2.2000000000000002</v>
      </c>
      <c r="D47" s="13">
        <f>SUM(D43:D46)</f>
        <v>1254.5999999999999</v>
      </c>
      <c r="E47" s="13">
        <f>SUM(E43:E46)</f>
        <v>598.20000000000005</v>
      </c>
      <c r="F47" s="13">
        <f>SUM(F43:F46)</f>
        <v>77.100000000000009</v>
      </c>
      <c r="G47" s="13">
        <f>AVERAGE(G43:G46)</f>
        <v>239.75</v>
      </c>
      <c r="H47" s="13">
        <f>AVERAGE(H43:H46)</f>
        <v>169.25</v>
      </c>
      <c r="I47" s="13">
        <f>MAX(I43:I46)</f>
        <v>442</v>
      </c>
      <c r="J47" s="13">
        <f>MAX(J43:J46)</f>
        <v>485</v>
      </c>
      <c r="K47" s="13">
        <f>MAX(K43:K46)</f>
        <v>632</v>
      </c>
      <c r="L47" s="13">
        <f>MIN(L43:L46)</f>
        <v>163</v>
      </c>
      <c r="M47" s="13">
        <f>MAX(M43:M46)</f>
        <v>717</v>
      </c>
      <c r="N47" s="13"/>
    </row>
    <row r="48" spans="1:14" ht="7.5" customHeight="1" x14ac:dyDescent="0.35"/>
    <row r="49" spans="1:14" ht="19.5" customHeight="1" x14ac:dyDescent="0.35">
      <c r="A49" s="6" t="s">
        <v>0</v>
      </c>
      <c r="B49" s="6"/>
      <c r="C49" s="6"/>
      <c r="D49" s="5" t="s">
        <v>31</v>
      </c>
      <c r="E49" s="5"/>
      <c r="F49" s="5"/>
      <c r="G49" s="5"/>
      <c r="H49" s="4" t="s">
        <v>32</v>
      </c>
      <c r="I49" s="4"/>
      <c r="J49" s="4"/>
      <c r="K49" s="4"/>
      <c r="L49" s="4"/>
      <c r="M49" s="4"/>
      <c r="N49" s="4"/>
    </row>
    <row r="50" spans="1:14" ht="19.5" customHeight="1" x14ac:dyDescent="0.35">
      <c r="A50" s="6" t="s">
        <v>3</v>
      </c>
      <c r="B50" s="6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27.75" customHeight="1" x14ac:dyDescent="0.35">
      <c r="A51" s="7" t="s">
        <v>4</v>
      </c>
      <c r="B51" s="7" t="s">
        <v>5</v>
      </c>
      <c r="C51" s="7" t="s">
        <v>6</v>
      </c>
      <c r="D51" s="7" t="s">
        <v>7</v>
      </c>
      <c r="E51" s="7" t="s">
        <v>8</v>
      </c>
      <c r="F51" s="7" t="s">
        <v>9</v>
      </c>
      <c r="G51" s="7" t="s">
        <v>10</v>
      </c>
      <c r="H51" s="7" t="s">
        <v>11</v>
      </c>
      <c r="I51" s="7" t="s">
        <v>12</v>
      </c>
      <c r="J51" s="7" t="s">
        <v>13</v>
      </c>
      <c r="K51" s="7" t="s">
        <v>14</v>
      </c>
      <c r="L51" s="7" t="s">
        <v>15</v>
      </c>
      <c r="M51" s="7" t="s">
        <v>16</v>
      </c>
      <c r="N51" s="7" t="s">
        <v>17</v>
      </c>
    </row>
    <row r="52" spans="1:14" ht="18" customHeight="1" x14ac:dyDescent="0.35">
      <c r="A52" s="8" t="s">
        <v>18</v>
      </c>
      <c r="B52" s="9">
        <v>1854</v>
      </c>
      <c r="C52" s="9">
        <v>0.8</v>
      </c>
      <c r="D52" s="9">
        <v>398.3</v>
      </c>
      <c r="E52" s="9">
        <v>134.5</v>
      </c>
      <c r="F52" s="9">
        <v>17.399999999999999</v>
      </c>
      <c r="G52" s="9">
        <v>186</v>
      </c>
      <c r="H52" s="9">
        <v>184</v>
      </c>
      <c r="I52" s="9">
        <v>297</v>
      </c>
      <c r="J52" s="9">
        <v>374</v>
      </c>
      <c r="K52" s="9">
        <v>508</v>
      </c>
      <c r="L52" s="9">
        <v>104</v>
      </c>
      <c r="M52" s="9">
        <v>561</v>
      </c>
      <c r="N52" s="9"/>
    </row>
    <row r="53" spans="1:14" ht="18" customHeight="1" x14ac:dyDescent="0.35">
      <c r="A53" s="10" t="s">
        <v>19</v>
      </c>
      <c r="B53" s="11">
        <v>1295</v>
      </c>
      <c r="C53" s="11">
        <v>1.2</v>
      </c>
      <c r="D53" s="11">
        <v>351.1</v>
      </c>
      <c r="E53" s="11">
        <v>112.7</v>
      </c>
      <c r="F53" s="11">
        <v>18.399999999999999</v>
      </c>
      <c r="G53" s="11">
        <v>326</v>
      </c>
      <c r="H53" s="11">
        <v>289</v>
      </c>
      <c r="I53" s="11">
        <v>479</v>
      </c>
      <c r="J53" s="11">
        <v>533</v>
      </c>
      <c r="K53" s="11">
        <v>670</v>
      </c>
      <c r="L53" s="11">
        <v>175</v>
      </c>
      <c r="M53" s="11">
        <v>755</v>
      </c>
      <c r="N53" s="11"/>
    </row>
    <row r="54" spans="1:14" ht="18" customHeight="1" x14ac:dyDescent="0.35">
      <c r="A54" s="8" t="s">
        <v>20</v>
      </c>
      <c r="B54" s="9">
        <v>2028</v>
      </c>
      <c r="C54" s="9">
        <v>3.1</v>
      </c>
      <c r="D54" s="9">
        <v>401.8</v>
      </c>
      <c r="E54" s="9">
        <v>126</v>
      </c>
      <c r="F54" s="9">
        <v>22.2</v>
      </c>
      <c r="G54" s="9">
        <v>231</v>
      </c>
      <c r="H54" s="9">
        <v>169</v>
      </c>
      <c r="I54" s="9">
        <v>358</v>
      </c>
      <c r="J54" s="9">
        <v>446</v>
      </c>
      <c r="K54" s="9">
        <v>569</v>
      </c>
      <c r="L54" s="9">
        <v>113</v>
      </c>
      <c r="M54" s="9">
        <v>630</v>
      </c>
      <c r="N54" s="9"/>
    </row>
    <row r="55" spans="1:14" ht="18" customHeight="1" x14ac:dyDescent="0.35">
      <c r="A55" s="10" t="s">
        <v>21</v>
      </c>
      <c r="B55" s="11">
        <v>1589</v>
      </c>
      <c r="C55" s="11">
        <v>0.8</v>
      </c>
      <c r="D55" s="11">
        <v>419.5</v>
      </c>
      <c r="E55" s="11">
        <v>170.4</v>
      </c>
      <c r="F55" s="11">
        <v>28.7</v>
      </c>
      <c r="G55" s="11">
        <v>346</v>
      </c>
      <c r="H55" s="11">
        <v>267</v>
      </c>
      <c r="I55" s="11">
        <v>514</v>
      </c>
      <c r="J55" s="11">
        <v>561</v>
      </c>
      <c r="K55" s="11">
        <v>689</v>
      </c>
      <c r="L55" s="11">
        <v>110</v>
      </c>
      <c r="M55" s="11">
        <v>809</v>
      </c>
      <c r="N55" s="11"/>
    </row>
    <row r="56" spans="1:14" ht="19.5" customHeight="1" x14ac:dyDescent="0.35">
      <c r="A56" s="12" t="s">
        <v>22</v>
      </c>
      <c r="B56" s="13">
        <f>SUM(B52:B55)</f>
        <v>6766</v>
      </c>
      <c r="C56" s="13">
        <f>AVERAGE(C52:C55)</f>
        <v>1.4749999999999999</v>
      </c>
      <c r="D56" s="13">
        <f>SUM(D52:D55)</f>
        <v>1570.7</v>
      </c>
      <c r="E56" s="13">
        <f>SUM(E52:E55)</f>
        <v>543.6</v>
      </c>
      <c r="F56" s="13">
        <f>SUM(F52:F55)</f>
        <v>86.7</v>
      </c>
      <c r="G56" s="13">
        <f>AVERAGE(G52:G55)</f>
        <v>272.25</v>
      </c>
      <c r="H56" s="13">
        <f>AVERAGE(H52:H55)</f>
        <v>227.25</v>
      </c>
      <c r="I56" s="13">
        <f>MAX(I52:I55)</f>
        <v>514</v>
      </c>
      <c r="J56" s="13">
        <f>MAX(J52:J55)</f>
        <v>561</v>
      </c>
      <c r="K56" s="13">
        <f>MAX(K52:K55)</f>
        <v>689</v>
      </c>
      <c r="L56" s="13">
        <f>MIN(L52:L55)</f>
        <v>104</v>
      </c>
      <c r="M56" s="13">
        <f>MAX(M52:M55)</f>
        <v>809</v>
      </c>
      <c r="N56" s="13"/>
    </row>
    <row r="57" spans="1:14" ht="7.5" customHeight="1" x14ac:dyDescent="0.35"/>
    <row r="58" spans="1:14" ht="19.5" customHeight="1" x14ac:dyDescent="0.35">
      <c r="A58" s="6" t="s">
        <v>0</v>
      </c>
      <c r="B58" s="6"/>
      <c r="C58" s="6"/>
      <c r="D58" s="5" t="s">
        <v>33</v>
      </c>
      <c r="E58" s="5"/>
      <c r="F58" s="5"/>
      <c r="G58" s="5"/>
      <c r="H58" s="4" t="s">
        <v>34</v>
      </c>
      <c r="I58" s="4"/>
      <c r="J58" s="4"/>
      <c r="K58" s="4"/>
      <c r="L58" s="4"/>
      <c r="M58" s="4"/>
      <c r="N58" s="4"/>
    </row>
    <row r="59" spans="1:14" ht="19.5" customHeight="1" x14ac:dyDescent="0.35">
      <c r="A59" s="6" t="s">
        <v>3</v>
      </c>
      <c r="B59" s="6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27.75" customHeight="1" x14ac:dyDescent="0.35">
      <c r="A60" s="7" t="s">
        <v>4</v>
      </c>
      <c r="B60" s="7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7" t="s">
        <v>13</v>
      </c>
      <c r="K60" s="7" t="s">
        <v>14</v>
      </c>
      <c r="L60" s="7" t="s">
        <v>15</v>
      </c>
      <c r="M60" s="7" t="s">
        <v>16</v>
      </c>
      <c r="N60" s="7" t="s">
        <v>17</v>
      </c>
    </row>
    <row r="61" spans="1:14" ht="18" customHeight="1" x14ac:dyDescent="0.35">
      <c r="A61" s="8" t="s">
        <v>18</v>
      </c>
      <c r="B61" s="9">
        <v>1268</v>
      </c>
      <c r="C61" s="9">
        <v>1.5</v>
      </c>
      <c r="D61" s="9">
        <v>436.7</v>
      </c>
      <c r="E61" s="9">
        <v>142.30000000000001</v>
      </c>
      <c r="F61" s="9">
        <v>24.4</v>
      </c>
      <c r="G61" s="9">
        <v>366</v>
      </c>
      <c r="H61" s="9">
        <v>162</v>
      </c>
      <c r="I61" s="9">
        <v>553</v>
      </c>
      <c r="J61" s="9">
        <v>595</v>
      </c>
      <c r="K61" s="9">
        <v>710</v>
      </c>
      <c r="L61" s="9">
        <v>119</v>
      </c>
      <c r="M61" s="9">
        <v>818</v>
      </c>
      <c r="N61" s="9"/>
    </row>
    <row r="62" spans="1:14" ht="18" customHeight="1" x14ac:dyDescent="0.35">
      <c r="A62" s="10" t="s">
        <v>19</v>
      </c>
      <c r="B62" s="11">
        <v>1951</v>
      </c>
      <c r="C62" s="11">
        <v>0.6</v>
      </c>
      <c r="D62" s="11">
        <v>359.2</v>
      </c>
      <c r="E62" s="11">
        <v>131.9</v>
      </c>
      <c r="F62" s="11">
        <v>30.2</v>
      </c>
      <c r="G62" s="11">
        <v>233</v>
      </c>
      <c r="H62" s="11">
        <v>223</v>
      </c>
      <c r="I62" s="11">
        <v>380</v>
      </c>
      <c r="J62" s="11">
        <v>445</v>
      </c>
      <c r="K62" s="11">
        <v>528</v>
      </c>
      <c r="L62" s="11">
        <v>131</v>
      </c>
      <c r="M62" s="11">
        <v>670</v>
      </c>
      <c r="N62" s="11"/>
    </row>
    <row r="63" spans="1:14" ht="18" customHeight="1" x14ac:dyDescent="0.35">
      <c r="A63" s="8" t="s">
        <v>20</v>
      </c>
      <c r="B63" s="9">
        <v>1341</v>
      </c>
      <c r="C63" s="9">
        <v>0.8</v>
      </c>
      <c r="D63" s="9">
        <v>395.8</v>
      </c>
      <c r="E63" s="9">
        <v>142.69999999999999</v>
      </c>
      <c r="F63" s="9">
        <v>21.1</v>
      </c>
      <c r="G63" s="9">
        <v>327</v>
      </c>
      <c r="H63" s="9">
        <v>252</v>
      </c>
      <c r="I63" s="9">
        <v>505</v>
      </c>
      <c r="J63" s="9">
        <v>584</v>
      </c>
      <c r="K63" s="9">
        <v>670</v>
      </c>
      <c r="L63" s="9">
        <v>184</v>
      </c>
      <c r="M63" s="9">
        <v>772</v>
      </c>
      <c r="N63" s="9"/>
    </row>
    <row r="64" spans="1:14" ht="18" customHeight="1" x14ac:dyDescent="0.35">
      <c r="A64" s="10" t="s">
        <v>21</v>
      </c>
      <c r="B64" s="11">
        <v>1904</v>
      </c>
      <c r="C64" s="11">
        <v>2.1</v>
      </c>
      <c r="D64" s="11">
        <v>372.8</v>
      </c>
      <c r="E64" s="11">
        <v>175</v>
      </c>
      <c r="F64" s="11">
        <v>30.5</v>
      </c>
      <c r="G64" s="11">
        <v>304</v>
      </c>
      <c r="H64" s="11">
        <v>215</v>
      </c>
      <c r="I64" s="11">
        <v>473</v>
      </c>
      <c r="J64" s="11">
        <v>551</v>
      </c>
      <c r="K64" s="11">
        <v>699</v>
      </c>
      <c r="L64" s="11">
        <v>140</v>
      </c>
      <c r="M64" s="11">
        <v>766</v>
      </c>
      <c r="N64" s="11"/>
    </row>
    <row r="65" spans="1:14" ht="19.5" customHeight="1" x14ac:dyDescent="0.35">
      <c r="A65" s="12" t="s">
        <v>22</v>
      </c>
      <c r="B65" s="13">
        <f>SUM(B61:B64)</f>
        <v>6464</v>
      </c>
      <c r="C65" s="13">
        <f>AVERAGE(C61:C64)</f>
        <v>1.25</v>
      </c>
      <c r="D65" s="13">
        <f>SUM(D61:D64)</f>
        <v>1564.5</v>
      </c>
      <c r="E65" s="13">
        <f>SUM(E61:E64)</f>
        <v>591.90000000000009</v>
      </c>
      <c r="F65" s="13">
        <f>SUM(F61:F64)</f>
        <v>106.19999999999999</v>
      </c>
      <c r="G65" s="13">
        <f>AVERAGE(G61:G64)</f>
        <v>307.5</v>
      </c>
      <c r="H65" s="13">
        <f>AVERAGE(H61:H64)</f>
        <v>213</v>
      </c>
      <c r="I65" s="13">
        <f>MAX(I61:I64)</f>
        <v>553</v>
      </c>
      <c r="J65" s="13">
        <f>MAX(J61:J64)</f>
        <v>595</v>
      </c>
      <c r="K65" s="13">
        <f>MAX(K61:K64)</f>
        <v>710</v>
      </c>
      <c r="L65" s="13">
        <f>MIN(L61:L64)</f>
        <v>119</v>
      </c>
      <c r="M65" s="13">
        <f>MAX(M61:M64)</f>
        <v>818</v>
      </c>
      <c r="N65" s="13"/>
    </row>
    <row r="66" spans="1:14" ht="7.5" customHeight="1" x14ac:dyDescent="0.35"/>
    <row r="67" spans="1:14" ht="19.5" customHeight="1" x14ac:dyDescent="0.35">
      <c r="A67" s="6" t="s">
        <v>0</v>
      </c>
      <c r="B67" s="6"/>
      <c r="C67" s="6"/>
      <c r="D67" s="5" t="s">
        <v>35</v>
      </c>
      <c r="E67" s="5"/>
      <c r="F67" s="5"/>
      <c r="G67" s="5"/>
      <c r="H67" s="4" t="s">
        <v>36</v>
      </c>
      <c r="I67" s="4"/>
      <c r="J67" s="4"/>
      <c r="K67" s="4"/>
      <c r="L67" s="4"/>
      <c r="M67" s="4"/>
      <c r="N67" s="4"/>
    </row>
    <row r="68" spans="1:14" ht="19.5" customHeight="1" x14ac:dyDescent="0.35">
      <c r="A68" s="6" t="s">
        <v>3</v>
      </c>
      <c r="B68" s="6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27.75" customHeight="1" x14ac:dyDescent="0.35">
      <c r="A69" s="7" t="s">
        <v>4</v>
      </c>
      <c r="B69" s="7" t="s">
        <v>5</v>
      </c>
      <c r="C69" s="7" t="s">
        <v>6</v>
      </c>
      <c r="D69" s="7" t="s">
        <v>7</v>
      </c>
      <c r="E69" s="7" t="s">
        <v>8</v>
      </c>
      <c r="F69" s="7" t="s">
        <v>9</v>
      </c>
      <c r="G69" s="7" t="s">
        <v>10</v>
      </c>
      <c r="H69" s="7" t="s">
        <v>11</v>
      </c>
      <c r="I69" s="7" t="s">
        <v>12</v>
      </c>
      <c r="J69" s="7" t="s">
        <v>13</v>
      </c>
      <c r="K69" s="7" t="s">
        <v>14</v>
      </c>
      <c r="L69" s="7" t="s">
        <v>15</v>
      </c>
      <c r="M69" s="7" t="s">
        <v>16</v>
      </c>
      <c r="N69" s="7" t="s">
        <v>17</v>
      </c>
    </row>
    <row r="70" spans="1:14" ht="18" customHeight="1" x14ac:dyDescent="0.35">
      <c r="A70" s="8" t="s">
        <v>18</v>
      </c>
      <c r="B70" s="9">
        <v>2189</v>
      </c>
      <c r="C70" s="9">
        <v>3</v>
      </c>
      <c r="D70" s="9">
        <v>252.3</v>
      </c>
      <c r="E70" s="9">
        <v>175.3</v>
      </c>
      <c r="F70" s="9">
        <v>20.100000000000001</v>
      </c>
      <c r="G70" s="9">
        <v>298</v>
      </c>
      <c r="H70" s="9">
        <v>257</v>
      </c>
      <c r="I70" s="9">
        <v>488</v>
      </c>
      <c r="J70" s="9">
        <v>542</v>
      </c>
      <c r="K70" s="9">
        <v>634</v>
      </c>
      <c r="L70" s="9">
        <v>147</v>
      </c>
      <c r="M70" s="9">
        <v>763</v>
      </c>
      <c r="N70" s="9"/>
    </row>
    <row r="71" spans="1:14" ht="18" customHeight="1" x14ac:dyDescent="0.35">
      <c r="A71" s="10" t="s">
        <v>19</v>
      </c>
      <c r="B71" s="11">
        <v>1269</v>
      </c>
      <c r="C71" s="11">
        <v>1.5</v>
      </c>
      <c r="D71" s="11">
        <v>301.10000000000002</v>
      </c>
      <c r="E71" s="11">
        <v>167.4</v>
      </c>
      <c r="F71" s="11">
        <v>15.4</v>
      </c>
      <c r="G71" s="11">
        <v>306</v>
      </c>
      <c r="H71" s="11">
        <v>203</v>
      </c>
      <c r="I71" s="11">
        <v>412</v>
      </c>
      <c r="J71" s="11">
        <v>511</v>
      </c>
      <c r="K71" s="11">
        <v>665</v>
      </c>
      <c r="L71" s="11">
        <v>171</v>
      </c>
      <c r="M71" s="11">
        <v>732</v>
      </c>
      <c r="N71" s="11"/>
    </row>
    <row r="72" spans="1:14" ht="18" customHeight="1" x14ac:dyDescent="0.35">
      <c r="A72" s="8" t="s">
        <v>20</v>
      </c>
      <c r="B72" s="9">
        <v>1593</v>
      </c>
      <c r="C72" s="9">
        <v>2.5</v>
      </c>
      <c r="D72" s="9">
        <v>435.6</v>
      </c>
      <c r="E72" s="9">
        <v>148.5</v>
      </c>
      <c r="F72" s="9">
        <v>19.2</v>
      </c>
      <c r="G72" s="9">
        <v>184</v>
      </c>
      <c r="H72" s="9">
        <v>162</v>
      </c>
      <c r="I72" s="9">
        <v>355</v>
      </c>
      <c r="J72" s="9">
        <v>408</v>
      </c>
      <c r="K72" s="9">
        <v>544</v>
      </c>
      <c r="L72" s="9">
        <v>123</v>
      </c>
      <c r="M72" s="9">
        <v>685</v>
      </c>
      <c r="N72" s="9"/>
    </row>
    <row r="73" spans="1:14" ht="18" customHeight="1" x14ac:dyDescent="0.35">
      <c r="A73" s="10" t="s">
        <v>21</v>
      </c>
      <c r="B73" s="11">
        <v>1594</v>
      </c>
      <c r="C73" s="11">
        <v>0.9</v>
      </c>
      <c r="D73" s="11">
        <v>384.1</v>
      </c>
      <c r="E73" s="11">
        <v>116.3</v>
      </c>
      <c r="F73" s="11">
        <v>18.600000000000001</v>
      </c>
      <c r="G73" s="11">
        <v>332</v>
      </c>
      <c r="H73" s="11">
        <v>196</v>
      </c>
      <c r="I73" s="11">
        <v>456</v>
      </c>
      <c r="J73" s="11">
        <v>507</v>
      </c>
      <c r="K73" s="11">
        <v>604</v>
      </c>
      <c r="L73" s="11">
        <v>170</v>
      </c>
      <c r="M73" s="11">
        <v>717</v>
      </c>
      <c r="N73" s="11"/>
    </row>
    <row r="74" spans="1:14" ht="19.5" customHeight="1" x14ac:dyDescent="0.35">
      <c r="A74" s="12" t="s">
        <v>22</v>
      </c>
      <c r="B74" s="13">
        <f>SUM(B70:B73)</f>
        <v>6645</v>
      </c>
      <c r="C74" s="13">
        <f>AVERAGE(C70:C73)</f>
        <v>1.9750000000000001</v>
      </c>
      <c r="D74" s="13">
        <f>SUM(D70:D73)</f>
        <v>1373.1000000000001</v>
      </c>
      <c r="E74" s="13">
        <f>SUM(E70:E73)</f>
        <v>607.5</v>
      </c>
      <c r="F74" s="13">
        <f>SUM(F70:F73)</f>
        <v>73.300000000000011</v>
      </c>
      <c r="G74" s="13">
        <f>AVERAGE(G70:G73)</f>
        <v>280</v>
      </c>
      <c r="H74" s="13">
        <f>AVERAGE(H70:H73)</f>
        <v>204.5</v>
      </c>
      <c r="I74" s="13">
        <f>MAX(I70:I73)</f>
        <v>488</v>
      </c>
      <c r="J74" s="13">
        <f>MAX(J70:J73)</f>
        <v>542</v>
      </c>
      <c r="K74" s="13">
        <f>MAX(K70:K73)</f>
        <v>665</v>
      </c>
      <c r="L74" s="13">
        <f>MIN(L70:L73)</f>
        <v>123</v>
      </c>
      <c r="M74" s="13">
        <f>MAX(M70:M73)</f>
        <v>763</v>
      </c>
      <c r="N74" s="13"/>
    </row>
    <row r="75" spans="1:14" ht="7.5" customHeight="1" x14ac:dyDescent="0.35"/>
    <row r="76" spans="1:14" ht="19.5" customHeight="1" x14ac:dyDescent="0.35">
      <c r="A76" s="6" t="s">
        <v>0</v>
      </c>
      <c r="B76" s="6"/>
      <c r="C76" s="6"/>
      <c r="D76" s="5" t="s">
        <v>37</v>
      </c>
      <c r="E76" s="5"/>
      <c r="F76" s="5"/>
      <c r="G76" s="5"/>
      <c r="H76" s="4" t="s">
        <v>38</v>
      </c>
      <c r="I76" s="4"/>
      <c r="J76" s="4"/>
      <c r="K76" s="4"/>
      <c r="L76" s="4"/>
      <c r="M76" s="4"/>
      <c r="N76" s="4"/>
    </row>
    <row r="77" spans="1:14" ht="19.5" customHeight="1" x14ac:dyDescent="0.35">
      <c r="A77" s="6" t="s">
        <v>3</v>
      </c>
      <c r="B77" s="6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27.75" customHeight="1" x14ac:dyDescent="0.35">
      <c r="A78" s="7" t="s">
        <v>4</v>
      </c>
      <c r="B78" s="7" t="s">
        <v>5</v>
      </c>
      <c r="C78" s="7" t="s">
        <v>6</v>
      </c>
      <c r="D78" s="7" t="s">
        <v>7</v>
      </c>
      <c r="E78" s="7" t="s">
        <v>8</v>
      </c>
      <c r="F78" s="7" t="s">
        <v>9</v>
      </c>
      <c r="G78" s="7" t="s">
        <v>10</v>
      </c>
      <c r="H78" s="7" t="s">
        <v>11</v>
      </c>
      <c r="I78" s="7" t="s">
        <v>12</v>
      </c>
      <c r="J78" s="7" t="s">
        <v>13</v>
      </c>
      <c r="K78" s="7" t="s">
        <v>14</v>
      </c>
      <c r="L78" s="7" t="s">
        <v>15</v>
      </c>
      <c r="M78" s="7" t="s">
        <v>16</v>
      </c>
      <c r="N78" s="7" t="s">
        <v>17</v>
      </c>
    </row>
    <row r="79" spans="1:14" ht="18" customHeight="1" x14ac:dyDescent="0.35">
      <c r="A79" s="8" t="s">
        <v>18</v>
      </c>
      <c r="B79" s="9">
        <v>1655</v>
      </c>
      <c r="C79" s="9">
        <v>1.8</v>
      </c>
      <c r="D79" s="9">
        <v>436.1</v>
      </c>
      <c r="E79" s="9">
        <v>135.30000000000001</v>
      </c>
      <c r="F79" s="9">
        <v>26.2</v>
      </c>
      <c r="G79" s="9">
        <v>258</v>
      </c>
      <c r="H79" s="9">
        <v>245</v>
      </c>
      <c r="I79" s="9">
        <v>368</v>
      </c>
      <c r="J79" s="9">
        <v>412</v>
      </c>
      <c r="K79" s="9">
        <v>517</v>
      </c>
      <c r="L79" s="9">
        <v>137</v>
      </c>
      <c r="M79" s="9">
        <v>576</v>
      </c>
      <c r="N79" s="9"/>
    </row>
    <row r="80" spans="1:14" ht="18" customHeight="1" x14ac:dyDescent="0.35">
      <c r="A80" s="10" t="s">
        <v>19</v>
      </c>
      <c r="B80" s="11">
        <v>2046</v>
      </c>
      <c r="C80" s="11">
        <v>2.4</v>
      </c>
      <c r="D80" s="11">
        <v>418.5</v>
      </c>
      <c r="E80" s="11">
        <v>171.1</v>
      </c>
      <c r="F80" s="11">
        <v>18.8</v>
      </c>
      <c r="G80" s="11">
        <v>376</v>
      </c>
      <c r="H80" s="11">
        <v>373</v>
      </c>
      <c r="I80" s="11">
        <v>492</v>
      </c>
      <c r="J80" s="11">
        <v>553</v>
      </c>
      <c r="K80" s="11">
        <v>663</v>
      </c>
      <c r="L80" s="11">
        <v>135</v>
      </c>
      <c r="M80" s="11">
        <v>789</v>
      </c>
      <c r="N80" s="11"/>
    </row>
    <row r="81" spans="1:14" ht="18" customHeight="1" x14ac:dyDescent="0.35">
      <c r="A81" s="8" t="s">
        <v>20</v>
      </c>
      <c r="B81" s="9">
        <v>1889</v>
      </c>
      <c r="C81" s="9">
        <v>0.6</v>
      </c>
      <c r="D81" s="9">
        <v>256.7</v>
      </c>
      <c r="E81" s="9">
        <v>200.6</v>
      </c>
      <c r="F81" s="9">
        <v>25.1</v>
      </c>
      <c r="G81" s="9">
        <v>201</v>
      </c>
      <c r="H81" s="9">
        <v>164</v>
      </c>
      <c r="I81" s="9">
        <v>398</v>
      </c>
      <c r="J81" s="9">
        <v>477</v>
      </c>
      <c r="K81" s="9">
        <v>628</v>
      </c>
      <c r="L81" s="9">
        <v>154</v>
      </c>
      <c r="M81" s="9">
        <v>733</v>
      </c>
      <c r="N81" s="9"/>
    </row>
    <row r="82" spans="1:14" ht="18" customHeight="1" x14ac:dyDescent="0.35">
      <c r="A82" s="10" t="s">
        <v>21</v>
      </c>
      <c r="B82" s="11">
        <v>1854</v>
      </c>
      <c r="C82" s="11">
        <v>1.6</v>
      </c>
      <c r="D82" s="11">
        <v>390</v>
      </c>
      <c r="E82" s="11">
        <v>120.5</v>
      </c>
      <c r="F82" s="11">
        <v>15.5</v>
      </c>
      <c r="G82" s="11">
        <v>247</v>
      </c>
      <c r="H82" s="11">
        <v>229</v>
      </c>
      <c r="I82" s="11">
        <v>389</v>
      </c>
      <c r="J82" s="11">
        <v>477</v>
      </c>
      <c r="K82" s="11">
        <v>572</v>
      </c>
      <c r="L82" s="11">
        <v>102</v>
      </c>
      <c r="M82" s="11">
        <v>695</v>
      </c>
      <c r="N82" s="11"/>
    </row>
    <row r="83" spans="1:14" ht="19.5" customHeight="1" x14ac:dyDescent="0.35">
      <c r="A83" s="12" t="s">
        <v>22</v>
      </c>
      <c r="B83" s="13">
        <f>SUM(B79:B82)</f>
        <v>7444</v>
      </c>
      <c r="C83" s="13">
        <f>AVERAGE(C79:C82)</f>
        <v>1.6</v>
      </c>
      <c r="D83" s="13">
        <f>SUM(D79:D82)</f>
        <v>1501.3</v>
      </c>
      <c r="E83" s="13">
        <f>SUM(E79:E82)</f>
        <v>627.5</v>
      </c>
      <c r="F83" s="13">
        <f>SUM(F79:F82)</f>
        <v>85.6</v>
      </c>
      <c r="G83" s="13">
        <f>AVERAGE(G79:G82)</f>
        <v>270.5</v>
      </c>
      <c r="H83" s="13">
        <f>AVERAGE(H79:H82)</f>
        <v>252.75</v>
      </c>
      <c r="I83" s="13">
        <f>MAX(I79:I82)</f>
        <v>492</v>
      </c>
      <c r="J83" s="13">
        <f>MAX(J79:J82)</f>
        <v>553</v>
      </c>
      <c r="K83" s="13">
        <f>MAX(K79:K82)</f>
        <v>663</v>
      </c>
      <c r="L83" s="13">
        <f>MIN(L79:L82)</f>
        <v>102</v>
      </c>
      <c r="M83" s="13">
        <f>MAX(M79:M82)</f>
        <v>789</v>
      </c>
      <c r="N83" s="13"/>
    </row>
    <row r="84" spans="1:14" ht="7.5" customHeight="1" x14ac:dyDescent="0.35"/>
    <row r="85" spans="1:14" ht="19.5" customHeight="1" x14ac:dyDescent="0.35">
      <c r="A85" s="6" t="s">
        <v>0</v>
      </c>
      <c r="B85" s="6"/>
      <c r="C85" s="6"/>
      <c r="D85" s="5" t="s">
        <v>39</v>
      </c>
      <c r="E85" s="5"/>
      <c r="F85" s="5"/>
      <c r="G85" s="5"/>
      <c r="H85" s="4" t="s">
        <v>40</v>
      </c>
      <c r="I85" s="4"/>
      <c r="J85" s="4"/>
      <c r="K85" s="4"/>
      <c r="L85" s="4"/>
      <c r="M85" s="4"/>
      <c r="N85" s="4"/>
    </row>
    <row r="86" spans="1:14" ht="19.5" customHeight="1" x14ac:dyDescent="0.35">
      <c r="A86" s="6" t="s">
        <v>3</v>
      </c>
      <c r="B86" s="6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27.75" customHeight="1" x14ac:dyDescent="0.35">
      <c r="A87" s="7" t="s">
        <v>4</v>
      </c>
      <c r="B87" s="7" t="s">
        <v>5</v>
      </c>
      <c r="C87" s="7" t="s">
        <v>6</v>
      </c>
      <c r="D87" s="7" t="s">
        <v>7</v>
      </c>
      <c r="E87" s="7" t="s">
        <v>8</v>
      </c>
      <c r="F87" s="7" t="s">
        <v>9</v>
      </c>
      <c r="G87" s="7" t="s">
        <v>10</v>
      </c>
      <c r="H87" s="7" t="s">
        <v>11</v>
      </c>
      <c r="I87" s="7" t="s">
        <v>12</v>
      </c>
      <c r="J87" s="7" t="s">
        <v>13</v>
      </c>
      <c r="K87" s="7" t="s">
        <v>14</v>
      </c>
      <c r="L87" s="7" t="s">
        <v>15</v>
      </c>
      <c r="M87" s="7" t="s">
        <v>16</v>
      </c>
      <c r="N87" s="7" t="s">
        <v>17</v>
      </c>
    </row>
    <row r="88" spans="1:14" ht="18" customHeight="1" x14ac:dyDescent="0.35">
      <c r="A88" s="8" t="s">
        <v>18</v>
      </c>
      <c r="B88" s="9">
        <v>2131</v>
      </c>
      <c r="C88" s="9">
        <v>0.9</v>
      </c>
      <c r="D88" s="9">
        <v>390.6</v>
      </c>
      <c r="E88" s="9">
        <v>155</v>
      </c>
      <c r="F88" s="9">
        <v>20.5</v>
      </c>
      <c r="G88" s="9">
        <v>187</v>
      </c>
      <c r="H88" s="9">
        <v>159</v>
      </c>
      <c r="I88" s="9">
        <v>373</v>
      </c>
      <c r="J88" s="9">
        <v>456</v>
      </c>
      <c r="K88" s="9">
        <v>612</v>
      </c>
      <c r="L88" s="9">
        <v>127</v>
      </c>
      <c r="M88" s="9">
        <v>753</v>
      </c>
      <c r="N88" s="9"/>
    </row>
    <row r="89" spans="1:14" ht="18" customHeight="1" x14ac:dyDescent="0.35">
      <c r="A89" s="10" t="s">
        <v>19</v>
      </c>
      <c r="B89" s="11">
        <v>1885</v>
      </c>
      <c r="C89" s="11">
        <v>1.7</v>
      </c>
      <c r="D89" s="11">
        <v>326</v>
      </c>
      <c r="E89" s="11">
        <v>150</v>
      </c>
      <c r="F89" s="11">
        <v>16.2</v>
      </c>
      <c r="G89" s="11">
        <v>241</v>
      </c>
      <c r="H89" s="11">
        <v>185</v>
      </c>
      <c r="I89" s="11">
        <v>389</v>
      </c>
      <c r="J89" s="11">
        <v>478</v>
      </c>
      <c r="K89" s="11">
        <v>615</v>
      </c>
      <c r="L89" s="11">
        <v>112</v>
      </c>
      <c r="M89" s="11">
        <v>676</v>
      </c>
      <c r="N89" s="11"/>
    </row>
    <row r="90" spans="1:14" ht="18" customHeight="1" x14ac:dyDescent="0.35">
      <c r="A90" s="8" t="s">
        <v>20</v>
      </c>
      <c r="B90" s="9">
        <v>1232</v>
      </c>
      <c r="C90" s="9">
        <v>2</v>
      </c>
      <c r="D90" s="9">
        <v>306.5</v>
      </c>
      <c r="E90" s="9">
        <v>123.5</v>
      </c>
      <c r="F90" s="9">
        <v>19.5</v>
      </c>
      <c r="G90" s="9">
        <v>352</v>
      </c>
      <c r="H90" s="9">
        <v>346</v>
      </c>
      <c r="I90" s="9">
        <v>467</v>
      </c>
      <c r="J90" s="9">
        <v>538</v>
      </c>
      <c r="K90" s="9">
        <v>626</v>
      </c>
      <c r="L90" s="9">
        <v>117</v>
      </c>
      <c r="M90" s="9">
        <v>721</v>
      </c>
      <c r="N90" s="9"/>
    </row>
    <row r="91" spans="1:14" ht="18" customHeight="1" x14ac:dyDescent="0.35">
      <c r="A91" s="10" t="s">
        <v>21</v>
      </c>
      <c r="B91" s="11">
        <v>2153</v>
      </c>
      <c r="C91" s="11">
        <v>2.1</v>
      </c>
      <c r="D91" s="11">
        <v>369.9</v>
      </c>
      <c r="E91" s="11">
        <v>118.1</v>
      </c>
      <c r="F91" s="11">
        <v>16</v>
      </c>
      <c r="G91" s="11">
        <v>260</v>
      </c>
      <c r="H91" s="11">
        <v>246</v>
      </c>
      <c r="I91" s="11">
        <v>365</v>
      </c>
      <c r="J91" s="11">
        <v>454</v>
      </c>
      <c r="K91" s="11">
        <v>573</v>
      </c>
      <c r="L91" s="11">
        <v>118</v>
      </c>
      <c r="M91" s="11">
        <v>702</v>
      </c>
      <c r="N91" s="11"/>
    </row>
    <row r="92" spans="1:14" ht="19.5" customHeight="1" x14ac:dyDescent="0.35">
      <c r="A92" s="12" t="s">
        <v>22</v>
      </c>
      <c r="B92" s="13">
        <f>SUM(B88:B91)</f>
        <v>7401</v>
      </c>
      <c r="C92" s="13">
        <f>AVERAGE(C88:C91)</f>
        <v>1.6749999999999998</v>
      </c>
      <c r="D92" s="13">
        <f>SUM(D88:D91)</f>
        <v>1393</v>
      </c>
      <c r="E92" s="13">
        <f>SUM(E88:E91)</f>
        <v>546.6</v>
      </c>
      <c r="F92" s="13">
        <f>SUM(F88:F91)</f>
        <v>72.2</v>
      </c>
      <c r="G92" s="13">
        <f>AVERAGE(G88:G91)</f>
        <v>260</v>
      </c>
      <c r="H92" s="13">
        <f>AVERAGE(H88:H91)</f>
        <v>234</v>
      </c>
      <c r="I92" s="13">
        <f>MAX(I88:I91)</f>
        <v>467</v>
      </c>
      <c r="J92" s="13">
        <f>MAX(J88:J91)</f>
        <v>538</v>
      </c>
      <c r="K92" s="13">
        <f>MAX(K88:K91)</f>
        <v>626</v>
      </c>
      <c r="L92" s="13">
        <f>MIN(L88:L91)</f>
        <v>112</v>
      </c>
      <c r="M92" s="13">
        <f>MAX(M88:M91)</f>
        <v>753</v>
      </c>
      <c r="N92" s="13"/>
    </row>
    <row r="93" spans="1:14" ht="7.5" customHeight="1" x14ac:dyDescent="0.35"/>
    <row r="94" spans="1:14" ht="19.5" customHeight="1" x14ac:dyDescent="0.35">
      <c r="A94" s="6" t="s">
        <v>0</v>
      </c>
      <c r="B94" s="6"/>
      <c r="C94" s="6"/>
      <c r="D94" s="5" t="s">
        <v>41</v>
      </c>
      <c r="E94" s="5"/>
      <c r="F94" s="5"/>
      <c r="G94" s="5"/>
      <c r="H94" s="4" t="s">
        <v>42</v>
      </c>
      <c r="I94" s="4"/>
      <c r="J94" s="4"/>
      <c r="K94" s="4"/>
      <c r="L94" s="4"/>
      <c r="M94" s="4"/>
      <c r="N94" s="4"/>
    </row>
    <row r="95" spans="1:14" ht="19.5" customHeight="1" x14ac:dyDescent="0.35">
      <c r="A95" s="6" t="s">
        <v>3</v>
      </c>
      <c r="B95" s="6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27.75" customHeight="1" x14ac:dyDescent="0.35">
      <c r="A96" s="7" t="s">
        <v>4</v>
      </c>
      <c r="B96" s="7" t="s">
        <v>5</v>
      </c>
      <c r="C96" s="7" t="s">
        <v>6</v>
      </c>
      <c r="D96" s="7" t="s">
        <v>7</v>
      </c>
      <c r="E96" s="7" t="s">
        <v>8</v>
      </c>
      <c r="F96" s="7" t="s">
        <v>9</v>
      </c>
      <c r="G96" s="7" t="s">
        <v>10</v>
      </c>
      <c r="H96" s="7" t="s">
        <v>11</v>
      </c>
      <c r="I96" s="7" t="s">
        <v>12</v>
      </c>
      <c r="J96" s="7" t="s">
        <v>13</v>
      </c>
      <c r="K96" s="7" t="s">
        <v>14</v>
      </c>
      <c r="L96" s="7" t="s">
        <v>15</v>
      </c>
      <c r="M96" s="7" t="s">
        <v>16</v>
      </c>
      <c r="N96" s="7" t="s">
        <v>17</v>
      </c>
    </row>
    <row r="97" spans="1:14" ht="18" customHeight="1" x14ac:dyDescent="0.35">
      <c r="A97" s="8" t="s">
        <v>18</v>
      </c>
      <c r="B97" s="9">
        <v>2018</v>
      </c>
      <c r="C97" s="9">
        <v>1.3</v>
      </c>
      <c r="D97" s="9">
        <v>289.5</v>
      </c>
      <c r="E97" s="9">
        <v>129.30000000000001</v>
      </c>
      <c r="F97" s="9">
        <v>31</v>
      </c>
      <c r="G97" s="9">
        <v>234</v>
      </c>
      <c r="H97" s="9">
        <v>210</v>
      </c>
      <c r="I97" s="9">
        <v>405</v>
      </c>
      <c r="J97" s="9">
        <v>484</v>
      </c>
      <c r="K97" s="9">
        <v>594</v>
      </c>
      <c r="L97" s="9">
        <v>118</v>
      </c>
      <c r="M97" s="9">
        <v>715</v>
      </c>
      <c r="N97" s="9"/>
    </row>
    <row r="98" spans="1:14" ht="18" customHeight="1" x14ac:dyDescent="0.35">
      <c r="A98" s="10" t="s">
        <v>19</v>
      </c>
      <c r="B98" s="11">
        <v>1845</v>
      </c>
      <c r="C98" s="11">
        <v>2.5</v>
      </c>
      <c r="D98" s="11">
        <v>250.5</v>
      </c>
      <c r="E98" s="11">
        <v>138</v>
      </c>
      <c r="F98" s="11">
        <v>29.2</v>
      </c>
      <c r="G98" s="11">
        <v>287</v>
      </c>
      <c r="H98" s="11">
        <v>194</v>
      </c>
      <c r="I98" s="11">
        <v>411</v>
      </c>
      <c r="J98" s="11">
        <v>483</v>
      </c>
      <c r="K98" s="11">
        <v>612</v>
      </c>
      <c r="L98" s="11">
        <v>123</v>
      </c>
      <c r="M98" s="11">
        <v>704</v>
      </c>
      <c r="N98" s="11"/>
    </row>
    <row r="99" spans="1:14" ht="18" customHeight="1" x14ac:dyDescent="0.35">
      <c r="A99" s="8" t="s">
        <v>20</v>
      </c>
      <c r="B99" s="9">
        <v>1529</v>
      </c>
      <c r="C99" s="9">
        <v>0.9</v>
      </c>
      <c r="D99" s="9">
        <v>360.2</v>
      </c>
      <c r="E99" s="9">
        <v>136</v>
      </c>
      <c r="F99" s="9">
        <v>23</v>
      </c>
      <c r="G99" s="9">
        <v>217</v>
      </c>
      <c r="H99" s="9">
        <v>174</v>
      </c>
      <c r="I99" s="9">
        <v>326</v>
      </c>
      <c r="J99" s="9">
        <v>371</v>
      </c>
      <c r="K99" s="9">
        <v>476</v>
      </c>
      <c r="L99" s="9">
        <v>189</v>
      </c>
      <c r="M99" s="9">
        <v>597</v>
      </c>
      <c r="N99" s="9"/>
    </row>
    <row r="100" spans="1:14" ht="18" customHeight="1" x14ac:dyDescent="0.35">
      <c r="A100" s="10" t="s">
        <v>21</v>
      </c>
      <c r="B100" s="11">
        <v>2122</v>
      </c>
      <c r="C100" s="11">
        <v>1.8</v>
      </c>
      <c r="D100" s="11">
        <v>390.9</v>
      </c>
      <c r="E100" s="11">
        <v>117.6</v>
      </c>
      <c r="F100" s="11">
        <v>29.3</v>
      </c>
      <c r="G100" s="11">
        <v>341</v>
      </c>
      <c r="H100" s="11">
        <v>339</v>
      </c>
      <c r="I100" s="11">
        <v>468</v>
      </c>
      <c r="J100" s="11">
        <v>555</v>
      </c>
      <c r="K100" s="11">
        <v>677</v>
      </c>
      <c r="L100" s="11">
        <v>111</v>
      </c>
      <c r="M100" s="11">
        <v>739</v>
      </c>
      <c r="N100" s="11"/>
    </row>
    <row r="101" spans="1:14" ht="19.5" customHeight="1" x14ac:dyDescent="0.35">
      <c r="A101" s="12" t="s">
        <v>22</v>
      </c>
      <c r="B101" s="13">
        <f>SUM(B97:B100)</f>
        <v>7514</v>
      </c>
      <c r="C101" s="13">
        <f>AVERAGE(C97:C100)</f>
        <v>1.625</v>
      </c>
      <c r="D101" s="13">
        <f>SUM(D97:D100)</f>
        <v>1291.0999999999999</v>
      </c>
      <c r="E101" s="13">
        <f>SUM(E97:E100)</f>
        <v>520.9</v>
      </c>
      <c r="F101" s="13">
        <f>SUM(F97:F100)</f>
        <v>112.5</v>
      </c>
      <c r="G101" s="13">
        <f>AVERAGE(G97:G100)</f>
        <v>269.75</v>
      </c>
      <c r="H101" s="13">
        <f>AVERAGE(H97:H100)</f>
        <v>229.25</v>
      </c>
      <c r="I101" s="13">
        <f>MAX(I97:I100)</f>
        <v>468</v>
      </c>
      <c r="J101" s="13">
        <f>MAX(J97:J100)</f>
        <v>555</v>
      </c>
      <c r="K101" s="13">
        <f>MAX(K97:K100)</f>
        <v>677</v>
      </c>
      <c r="L101" s="13">
        <f>MIN(L97:L100)</f>
        <v>111</v>
      </c>
      <c r="M101" s="13">
        <f>MAX(M97:M100)</f>
        <v>739</v>
      </c>
      <c r="N101" s="13"/>
    </row>
    <row r="102" spans="1:14" ht="7.5" customHeight="1" x14ac:dyDescent="0.35"/>
    <row r="103" spans="1:14" ht="19.5" customHeight="1" x14ac:dyDescent="0.35">
      <c r="A103" s="6" t="s">
        <v>0</v>
      </c>
      <c r="B103" s="6"/>
      <c r="C103" s="6"/>
      <c r="D103" s="5" t="s">
        <v>43</v>
      </c>
      <c r="E103" s="5"/>
      <c r="F103" s="5"/>
      <c r="G103" s="5"/>
      <c r="H103" s="4" t="s">
        <v>44</v>
      </c>
      <c r="I103" s="4"/>
      <c r="J103" s="4"/>
      <c r="K103" s="4"/>
      <c r="L103" s="4"/>
      <c r="M103" s="4"/>
      <c r="N103" s="4"/>
    </row>
    <row r="104" spans="1:14" ht="19.5" customHeight="1" x14ac:dyDescent="0.35">
      <c r="A104" s="6" t="s">
        <v>3</v>
      </c>
      <c r="B104" s="6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27.75" customHeight="1" x14ac:dyDescent="0.35">
      <c r="A105" s="7" t="s">
        <v>4</v>
      </c>
      <c r="B105" s="7" t="s">
        <v>5</v>
      </c>
      <c r="C105" s="7" t="s">
        <v>6</v>
      </c>
      <c r="D105" s="7" t="s">
        <v>7</v>
      </c>
      <c r="E105" s="7" t="s">
        <v>8</v>
      </c>
      <c r="F105" s="7" t="s">
        <v>9</v>
      </c>
      <c r="G105" s="7" t="s">
        <v>10</v>
      </c>
      <c r="H105" s="7" t="s">
        <v>11</v>
      </c>
      <c r="I105" s="7" t="s">
        <v>12</v>
      </c>
      <c r="J105" s="7" t="s">
        <v>13</v>
      </c>
      <c r="K105" s="7" t="s">
        <v>14</v>
      </c>
      <c r="L105" s="7" t="s">
        <v>15</v>
      </c>
      <c r="M105" s="7" t="s">
        <v>16</v>
      </c>
      <c r="N105" s="7" t="s">
        <v>17</v>
      </c>
    </row>
    <row r="106" spans="1:14" ht="18" customHeight="1" x14ac:dyDescent="0.35">
      <c r="A106" s="8" t="s">
        <v>18</v>
      </c>
      <c r="B106" s="9">
        <v>1949</v>
      </c>
      <c r="C106" s="9">
        <v>1.4</v>
      </c>
      <c r="D106" s="9">
        <v>405</v>
      </c>
      <c r="E106" s="9">
        <v>158.9</v>
      </c>
      <c r="F106" s="9">
        <v>23.9</v>
      </c>
      <c r="G106" s="9">
        <v>329</v>
      </c>
      <c r="H106" s="9">
        <v>231</v>
      </c>
      <c r="I106" s="9">
        <v>454</v>
      </c>
      <c r="J106" s="9">
        <v>523</v>
      </c>
      <c r="K106" s="9">
        <v>666</v>
      </c>
      <c r="L106" s="9">
        <v>170</v>
      </c>
      <c r="M106" s="9">
        <v>812</v>
      </c>
      <c r="N106" s="9"/>
    </row>
    <row r="107" spans="1:14" ht="18" customHeight="1" x14ac:dyDescent="0.35">
      <c r="A107" s="10" t="s">
        <v>19</v>
      </c>
      <c r="B107" s="11">
        <v>1957</v>
      </c>
      <c r="C107" s="11">
        <v>1.6</v>
      </c>
      <c r="D107" s="11">
        <v>280.10000000000002</v>
      </c>
      <c r="E107" s="11">
        <v>204.7</v>
      </c>
      <c r="F107" s="11">
        <v>27.2</v>
      </c>
      <c r="G107" s="11">
        <v>294</v>
      </c>
      <c r="H107" s="11">
        <v>269</v>
      </c>
      <c r="I107" s="11">
        <v>445</v>
      </c>
      <c r="J107" s="11">
        <v>542</v>
      </c>
      <c r="K107" s="11">
        <v>664</v>
      </c>
      <c r="L107" s="11">
        <v>177</v>
      </c>
      <c r="M107" s="11">
        <v>742</v>
      </c>
      <c r="N107" s="11"/>
    </row>
    <row r="108" spans="1:14" ht="18" customHeight="1" x14ac:dyDescent="0.35">
      <c r="A108" s="8" t="s">
        <v>20</v>
      </c>
      <c r="B108" s="9">
        <v>1328</v>
      </c>
      <c r="C108" s="9">
        <v>2.5</v>
      </c>
      <c r="D108" s="9">
        <v>344.7</v>
      </c>
      <c r="E108" s="9">
        <v>161.30000000000001</v>
      </c>
      <c r="F108" s="9">
        <v>15.7</v>
      </c>
      <c r="G108" s="9">
        <v>171</v>
      </c>
      <c r="H108" s="9">
        <v>165</v>
      </c>
      <c r="I108" s="9">
        <v>338</v>
      </c>
      <c r="J108" s="9">
        <v>421</v>
      </c>
      <c r="K108" s="9">
        <v>538</v>
      </c>
      <c r="L108" s="9">
        <v>168</v>
      </c>
      <c r="M108" s="9">
        <v>601</v>
      </c>
      <c r="N108" s="9"/>
    </row>
    <row r="109" spans="1:14" ht="18" customHeight="1" x14ac:dyDescent="0.35">
      <c r="A109" s="10" t="s">
        <v>21</v>
      </c>
      <c r="B109" s="11">
        <v>1212</v>
      </c>
      <c r="C109" s="11">
        <v>1.2</v>
      </c>
      <c r="D109" s="11">
        <v>430.8</v>
      </c>
      <c r="E109" s="11">
        <v>123.6</v>
      </c>
      <c r="F109" s="11">
        <v>27</v>
      </c>
      <c r="G109" s="11">
        <v>229</v>
      </c>
      <c r="H109" s="11">
        <v>165</v>
      </c>
      <c r="I109" s="11">
        <v>422</v>
      </c>
      <c r="J109" s="11">
        <v>468</v>
      </c>
      <c r="K109" s="11">
        <v>617</v>
      </c>
      <c r="L109" s="11">
        <v>109</v>
      </c>
      <c r="M109" s="11">
        <v>726</v>
      </c>
      <c r="N109" s="11"/>
    </row>
    <row r="110" spans="1:14" ht="19.5" customHeight="1" x14ac:dyDescent="0.35">
      <c r="A110" s="12" t="s">
        <v>22</v>
      </c>
      <c r="B110" s="13">
        <f>SUM(B106:B109)</f>
        <v>6446</v>
      </c>
      <c r="C110" s="13">
        <f>AVERAGE(C106:C109)</f>
        <v>1.675</v>
      </c>
      <c r="D110" s="13">
        <f>SUM(D106:D109)</f>
        <v>1460.6</v>
      </c>
      <c r="E110" s="13">
        <f>SUM(E106:E109)</f>
        <v>648.50000000000011</v>
      </c>
      <c r="F110" s="13">
        <f>SUM(F106:F109)</f>
        <v>93.8</v>
      </c>
      <c r="G110" s="13">
        <f>AVERAGE(G106:G109)</f>
        <v>255.75</v>
      </c>
      <c r="H110" s="13">
        <f>AVERAGE(H106:H109)</f>
        <v>207.5</v>
      </c>
      <c r="I110" s="13">
        <f>MAX(I106:I109)</f>
        <v>454</v>
      </c>
      <c r="J110" s="13">
        <f>MAX(J106:J109)</f>
        <v>542</v>
      </c>
      <c r="K110" s="13">
        <f>MAX(K106:K109)</f>
        <v>666</v>
      </c>
      <c r="L110" s="13">
        <f>MIN(L106:L109)</f>
        <v>109</v>
      </c>
      <c r="M110" s="13">
        <f>MAX(M106:M109)</f>
        <v>812</v>
      </c>
      <c r="N110" s="13"/>
    </row>
    <row r="111" spans="1:14" ht="7.5" customHeight="1" x14ac:dyDescent="0.35"/>
    <row r="112" spans="1:14" ht="19.5" customHeight="1" x14ac:dyDescent="0.35">
      <c r="A112" s="6" t="s">
        <v>0</v>
      </c>
      <c r="B112" s="6"/>
      <c r="C112" s="6"/>
      <c r="D112" s="5" t="s">
        <v>45</v>
      </c>
      <c r="E112" s="5"/>
      <c r="F112" s="5"/>
      <c r="G112" s="5"/>
      <c r="H112" s="4" t="s">
        <v>46</v>
      </c>
      <c r="I112" s="4"/>
      <c r="J112" s="4"/>
      <c r="K112" s="4"/>
      <c r="L112" s="4"/>
      <c r="M112" s="4"/>
      <c r="N112" s="4"/>
    </row>
    <row r="113" spans="1:14" ht="19.5" customHeight="1" x14ac:dyDescent="0.35">
      <c r="A113" s="6" t="s">
        <v>3</v>
      </c>
      <c r="B113" s="6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27.75" customHeight="1" x14ac:dyDescent="0.35">
      <c r="A114" s="7" t="s">
        <v>4</v>
      </c>
      <c r="B114" s="7" t="s">
        <v>5</v>
      </c>
      <c r="C114" s="7" t="s">
        <v>6</v>
      </c>
      <c r="D114" s="7" t="s">
        <v>7</v>
      </c>
      <c r="E114" s="7" t="s">
        <v>8</v>
      </c>
      <c r="F114" s="7" t="s">
        <v>9</v>
      </c>
      <c r="G114" s="7" t="s">
        <v>10</v>
      </c>
      <c r="H114" s="7" t="s">
        <v>11</v>
      </c>
      <c r="I114" s="7" t="s">
        <v>12</v>
      </c>
      <c r="J114" s="7" t="s">
        <v>13</v>
      </c>
      <c r="K114" s="7" t="s">
        <v>14</v>
      </c>
      <c r="L114" s="7" t="s">
        <v>15</v>
      </c>
      <c r="M114" s="7" t="s">
        <v>16</v>
      </c>
      <c r="N114" s="7" t="s">
        <v>17</v>
      </c>
    </row>
    <row r="115" spans="1:14" ht="18" customHeight="1" x14ac:dyDescent="0.35">
      <c r="A115" s="8" t="s">
        <v>18</v>
      </c>
      <c r="B115" s="9">
        <v>1285</v>
      </c>
      <c r="C115" s="9">
        <v>2.2999999999999998</v>
      </c>
      <c r="D115" s="9">
        <v>443.5</v>
      </c>
      <c r="E115" s="9">
        <v>177.9</v>
      </c>
      <c r="F115" s="9">
        <v>21.8</v>
      </c>
      <c r="G115" s="9">
        <v>277</v>
      </c>
      <c r="H115" s="9">
        <v>262</v>
      </c>
      <c r="I115" s="9">
        <v>436</v>
      </c>
      <c r="J115" s="9">
        <v>505</v>
      </c>
      <c r="K115" s="9">
        <v>617</v>
      </c>
      <c r="L115" s="9">
        <v>131</v>
      </c>
      <c r="M115" s="9">
        <v>691</v>
      </c>
      <c r="N115" s="9"/>
    </row>
    <row r="116" spans="1:14" ht="18" customHeight="1" x14ac:dyDescent="0.35">
      <c r="A116" s="10" t="s">
        <v>19</v>
      </c>
      <c r="B116" s="11">
        <v>1817</v>
      </c>
      <c r="C116" s="11">
        <v>3</v>
      </c>
      <c r="D116" s="11">
        <v>410</v>
      </c>
      <c r="E116" s="11">
        <v>131.80000000000001</v>
      </c>
      <c r="F116" s="11">
        <v>28.5</v>
      </c>
      <c r="G116" s="11">
        <v>258</v>
      </c>
      <c r="H116" s="11">
        <v>246</v>
      </c>
      <c r="I116" s="11">
        <v>369</v>
      </c>
      <c r="J116" s="11">
        <v>458</v>
      </c>
      <c r="K116" s="11">
        <v>549</v>
      </c>
      <c r="L116" s="11">
        <v>187</v>
      </c>
      <c r="M116" s="11">
        <v>656</v>
      </c>
      <c r="N116" s="11"/>
    </row>
    <row r="117" spans="1:14" ht="18" customHeight="1" x14ac:dyDescent="0.35">
      <c r="A117" s="8" t="s">
        <v>20</v>
      </c>
      <c r="B117" s="9">
        <v>1914</v>
      </c>
      <c r="C117" s="9">
        <v>2.1</v>
      </c>
      <c r="D117" s="9">
        <v>310.39999999999998</v>
      </c>
      <c r="E117" s="9">
        <v>165.7</v>
      </c>
      <c r="F117" s="9">
        <v>31.3</v>
      </c>
      <c r="G117" s="9">
        <v>249</v>
      </c>
      <c r="H117" s="9">
        <v>198</v>
      </c>
      <c r="I117" s="9">
        <v>442</v>
      </c>
      <c r="J117" s="9">
        <v>532</v>
      </c>
      <c r="K117" s="9">
        <v>682</v>
      </c>
      <c r="L117" s="9">
        <v>155</v>
      </c>
      <c r="M117" s="9">
        <v>754</v>
      </c>
      <c r="N117" s="9"/>
    </row>
    <row r="118" spans="1:14" ht="18" customHeight="1" x14ac:dyDescent="0.35">
      <c r="A118" s="10" t="s">
        <v>21</v>
      </c>
      <c r="B118" s="11">
        <v>1547</v>
      </c>
      <c r="C118" s="11">
        <v>1</v>
      </c>
      <c r="D118" s="11">
        <v>384.1</v>
      </c>
      <c r="E118" s="11">
        <v>183.9</v>
      </c>
      <c r="F118" s="11">
        <v>24.6</v>
      </c>
      <c r="G118" s="11">
        <v>368</v>
      </c>
      <c r="H118" s="11">
        <v>204</v>
      </c>
      <c r="I118" s="11">
        <v>501</v>
      </c>
      <c r="J118" s="11">
        <v>591</v>
      </c>
      <c r="K118" s="11">
        <v>676</v>
      </c>
      <c r="L118" s="11">
        <v>166</v>
      </c>
      <c r="M118" s="11">
        <v>733</v>
      </c>
      <c r="N118" s="11"/>
    </row>
    <row r="119" spans="1:14" ht="19.5" customHeight="1" x14ac:dyDescent="0.35">
      <c r="A119" s="12" t="s">
        <v>22</v>
      </c>
      <c r="B119" s="13">
        <f>SUM(B115:B118)</f>
        <v>6563</v>
      </c>
      <c r="C119" s="13">
        <f>AVERAGE(C115:C118)</f>
        <v>2.1</v>
      </c>
      <c r="D119" s="13">
        <f>SUM(D115:D118)</f>
        <v>1548</v>
      </c>
      <c r="E119" s="13">
        <f>SUM(E115:E118)</f>
        <v>659.30000000000007</v>
      </c>
      <c r="F119" s="13">
        <f>SUM(F115:F118)</f>
        <v>106.19999999999999</v>
      </c>
      <c r="G119" s="13">
        <f>AVERAGE(G115:G118)</f>
        <v>288</v>
      </c>
      <c r="H119" s="13">
        <f>AVERAGE(H115:H118)</f>
        <v>227.5</v>
      </c>
      <c r="I119" s="13">
        <f>MAX(I115:I118)</f>
        <v>501</v>
      </c>
      <c r="J119" s="13">
        <f>MAX(J115:J118)</f>
        <v>591</v>
      </c>
      <c r="K119" s="13">
        <f>MAX(K115:K118)</f>
        <v>682</v>
      </c>
      <c r="L119" s="13">
        <f>MIN(L115:L118)</f>
        <v>131</v>
      </c>
      <c r="M119" s="13">
        <f>MAX(M115:M118)</f>
        <v>754</v>
      </c>
      <c r="N119" s="13"/>
    </row>
    <row r="120" spans="1:14" ht="7.5" customHeight="1" x14ac:dyDescent="0.35"/>
    <row r="121" spans="1:14" ht="19.5" customHeight="1" x14ac:dyDescent="0.35">
      <c r="A121" s="6" t="s">
        <v>0</v>
      </c>
      <c r="B121" s="6"/>
      <c r="C121" s="6"/>
      <c r="D121" s="5" t="s">
        <v>47</v>
      </c>
      <c r="E121" s="5"/>
      <c r="F121" s="5"/>
      <c r="G121" s="5"/>
      <c r="H121" s="4" t="s">
        <v>48</v>
      </c>
      <c r="I121" s="4"/>
      <c r="J121" s="4"/>
      <c r="K121" s="4"/>
      <c r="L121" s="4"/>
      <c r="M121" s="4"/>
      <c r="N121" s="4"/>
    </row>
    <row r="122" spans="1:14" ht="19.5" customHeight="1" x14ac:dyDescent="0.35">
      <c r="A122" s="6" t="s">
        <v>3</v>
      </c>
      <c r="B122" s="6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27.75" customHeight="1" x14ac:dyDescent="0.35">
      <c r="A123" s="7" t="s">
        <v>4</v>
      </c>
      <c r="B123" s="7" t="s">
        <v>5</v>
      </c>
      <c r="C123" s="7" t="s">
        <v>6</v>
      </c>
      <c r="D123" s="7" t="s">
        <v>7</v>
      </c>
      <c r="E123" s="7" t="s">
        <v>8</v>
      </c>
      <c r="F123" s="7" t="s">
        <v>9</v>
      </c>
      <c r="G123" s="7" t="s">
        <v>10</v>
      </c>
      <c r="H123" s="7" t="s">
        <v>11</v>
      </c>
      <c r="I123" s="7" t="s">
        <v>12</v>
      </c>
      <c r="J123" s="7" t="s">
        <v>13</v>
      </c>
      <c r="K123" s="7" t="s">
        <v>14</v>
      </c>
      <c r="L123" s="7" t="s">
        <v>15</v>
      </c>
      <c r="M123" s="7" t="s">
        <v>16</v>
      </c>
      <c r="N123" s="7" t="s">
        <v>17</v>
      </c>
    </row>
    <row r="124" spans="1:14" ht="18" customHeight="1" x14ac:dyDescent="0.35">
      <c r="A124" s="8" t="s">
        <v>18</v>
      </c>
      <c r="B124" s="9">
        <v>1564</v>
      </c>
      <c r="C124" s="9">
        <v>2.2000000000000002</v>
      </c>
      <c r="D124" s="9">
        <v>258.60000000000002</v>
      </c>
      <c r="E124" s="9">
        <v>151.80000000000001</v>
      </c>
      <c r="F124" s="9">
        <v>31.5</v>
      </c>
      <c r="G124" s="9">
        <v>232</v>
      </c>
      <c r="H124" s="9">
        <v>221</v>
      </c>
      <c r="I124" s="9">
        <v>340</v>
      </c>
      <c r="J124" s="9">
        <v>430</v>
      </c>
      <c r="K124" s="9">
        <v>573</v>
      </c>
      <c r="L124" s="9">
        <v>125</v>
      </c>
      <c r="M124" s="9">
        <v>673</v>
      </c>
      <c r="N124" s="9"/>
    </row>
    <row r="125" spans="1:14" ht="18" customHeight="1" x14ac:dyDescent="0.35">
      <c r="A125" s="10" t="s">
        <v>19</v>
      </c>
      <c r="B125" s="11">
        <v>1235</v>
      </c>
      <c r="C125" s="11">
        <v>2.5</v>
      </c>
      <c r="D125" s="11">
        <v>411.4</v>
      </c>
      <c r="E125" s="11">
        <v>186</v>
      </c>
      <c r="F125" s="11">
        <v>15.1</v>
      </c>
      <c r="G125" s="11">
        <v>359</v>
      </c>
      <c r="H125" s="11">
        <v>352</v>
      </c>
      <c r="I125" s="11">
        <v>459</v>
      </c>
      <c r="J125" s="11">
        <v>547</v>
      </c>
      <c r="K125" s="11">
        <v>676</v>
      </c>
      <c r="L125" s="11">
        <v>198</v>
      </c>
      <c r="M125" s="11">
        <v>764</v>
      </c>
      <c r="N125" s="11"/>
    </row>
    <row r="126" spans="1:14" ht="18" customHeight="1" x14ac:dyDescent="0.35">
      <c r="A126" s="8" t="s">
        <v>20</v>
      </c>
      <c r="B126" s="9">
        <v>1542</v>
      </c>
      <c r="C126" s="9">
        <v>0.6</v>
      </c>
      <c r="D126" s="9">
        <v>399.1</v>
      </c>
      <c r="E126" s="9">
        <v>196.7</v>
      </c>
      <c r="F126" s="9">
        <v>23.3</v>
      </c>
      <c r="G126" s="9">
        <v>372</v>
      </c>
      <c r="H126" s="9">
        <v>360</v>
      </c>
      <c r="I126" s="9">
        <v>541</v>
      </c>
      <c r="J126" s="9">
        <v>591</v>
      </c>
      <c r="K126" s="9">
        <v>722</v>
      </c>
      <c r="L126" s="9">
        <v>122</v>
      </c>
      <c r="M126" s="9">
        <v>844</v>
      </c>
      <c r="N126" s="9"/>
    </row>
    <row r="127" spans="1:14" ht="18" customHeight="1" x14ac:dyDescent="0.35">
      <c r="A127" s="10" t="s">
        <v>21</v>
      </c>
      <c r="B127" s="11">
        <v>1712</v>
      </c>
      <c r="C127" s="11">
        <v>2.9</v>
      </c>
      <c r="D127" s="11">
        <v>303.7</v>
      </c>
      <c r="E127" s="11">
        <v>161.30000000000001</v>
      </c>
      <c r="F127" s="11">
        <v>17.100000000000001</v>
      </c>
      <c r="G127" s="11">
        <v>298</v>
      </c>
      <c r="H127" s="11">
        <v>200</v>
      </c>
      <c r="I127" s="11">
        <v>486</v>
      </c>
      <c r="J127" s="11">
        <v>576</v>
      </c>
      <c r="K127" s="11">
        <v>708</v>
      </c>
      <c r="L127" s="11">
        <v>169</v>
      </c>
      <c r="M127" s="11">
        <v>771</v>
      </c>
      <c r="N127" s="11"/>
    </row>
    <row r="128" spans="1:14" ht="19.5" customHeight="1" x14ac:dyDescent="0.35">
      <c r="A128" s="12" t="s">
        <v>22</v>
      </c>
      <c r="B128" s="13">
        <f>SUM(B124:B127)</f>
        <v>6053</v>
      </c>
      <c r="C128" s="13">
        <f>AVERAGE(C124:C127)</f>
        <v>2.0499999999999998</v>
      </c>
      <c r="D128" s="13">
        <f>SUM(D124:D127)</f>
        <v>1372.8</v>
      </c>
      <c r="E128" s="13">
        <f>SUM(E124:E127)</f>
        <v>695.8</v>
      </c>
      <c r="F128" s="13">
        <f>SUM(F124:F127)</f>
        <v>87</v>
      </c>
      <c r="G128" s="13">
        <f>AVERAGE(G124:G127)</f>
        <v>315.25</v>
      </c>
      <c r="H128" s="13">
        <f>AVERAGE(H124:H127)</f>
        <v>283.25</v>
      </c>
      <c r="I128" s="13">
        <f>MAX(I124:I127)</f>
        <v>541</v>
      </c>
      <c r="J128" s="13">
        <f>MAX(J124:J127)</f>
        <v>591</v>
      </c>
      <c r="K128" s="13">
        <f>MAX(K124:K127)</f>
        <v>722</v>
      </c>
      <c r="L128" s="13">
        <f>MIN(L124:L127)</f>
        <v>122</v>
      </c>
      <c r="M128" s="13">
        <f>MAX(M124:M127)</f>
        <v>844</v>
      </c>
      <c r="N128" s="13"/>
    </row>
    <row r="129" spans="1:14" ht="7.5" customHeight="1" x14ac:dyDescent="0.35"/>
    <row r="130" spans="1:14" ht="19.5" customHeight="1" x14ac:dyDescent="0.35">
      <c r="A130" s="6" t="s">
        <v>0</v>
      </c>
      <c r="B130" s="6"/>
      <c r="C130" s="6"/>
      <c r="D130" s="5" t="s">
        <v>49</v>
      </c>
      <c r="E130" s="5"/>
      <c r="F130" s="5"/>
      <c r="G130" s="5"/>
      <c r="H130" s="4" t="s">
        <v>50</v>
      </c>
      <c r="I130" s="4"/>
      <c r="J130" s="4"/>
      <c r="K130" s="4"/>
      <c r="L130" s="4"/>
      <c r="M130" s="4"/>
      <c r="N130" s="4"/>
    </row>
    <row r="131" spans="1:14" ht="19.5" customHeight="1" x14ac:dyDescent="0.35">
      <c r="A131" s="6" t="s">
        <v>3</v>
      </c>
      <c r="B131" s="6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27.75" customHeight="1" x14ac:dyDescent="0.35">
      <c r="A132" s="7" t="s">
        <v>4</v>
      </c>
      <c r="B132" s="7" t="s">
        <v>5</v>
      </c>
      <c r="C132" s="7" t="s">
        <v>6</v>
      </c>
      <c r="D132" s="7" t="s">
        <v>7</v>
      </c>
      <c r="E132" s="7" t="s">
        <v>8</v>
      </c>
      <c r="F132" s="7" t="s">
        <v>9</v>
      </c>
      <c r="G132" s="7" t="s">
        <v>10</v>
      </c>
      <c r="H132" s="7" t="s">
        <v>11</v>
      </c>
      <c r="I132" s="7" t="s">
        <v>12</v>
      </c>
      <c r="J132" s="7" t="s">
        <v>13</v>
      </c>
      <c r="K132" s="7" t="s">
        <v>14</v>
      </c>
      <c r="L132" s="7" t="s">
        <v>15</v>
      </c>
      <c r="M132" s="7" t="s">
        <v>16</v>
      </c>
      <c r="N132" s="7" t="s">
        <v>17</v>
      </c>
    </row>
    <row r="133" spans="1:14" ht="18" customHeight="1" x14ac:dyDescent="0.35">
      <c r="A133" s="8" t="s">
        <v>18</v>
      </c>
      <c r="B133" s="9">
        <v>2099</v>
      </c>
      <c r="C133" s="9">
        <v>2.2999999999999998</v>
      </c>
      <c r="D133" s="9">
        <v>366.1</v>
      </c>
      <c r="E133" s="9">
        <v>120.8</v>
      </c>
      <c r="F133" s="9">
        <v>15</v>
      </c>
      <c r="G133" s="9">
        <v>294</v>
      </c>
      <c r="H133" s="9">
        <v>235</v>
      </c>
      <c r="I133" s="9">
        <v>431</v>
      </c>
      <c r="J133" s="9">
        <v>481</v>
      </c>
      <c r="K133" s="9">
        <v>605</v>
      </c>
      <c r="L133" s="9">
        <v>121</v>
      </c>
      <c r="M133" s="9">
        <v>751</v>
      </c>
      <c r="N133" s="9"/>
    </row>
    <row r="134" spans="1:14" ht="18" customHeight="1" x14ac:dyDescent="0.35">
      <c r="A134" s="10" t="s">
        <v>19</v>
      </c>
      <c r="B134" s="11">
        <v>2110</v>
      </c>
      <c r="C134" s="11">
        <v>0.9</v>
      </c>
      <c r="D134" s="11">
        <v>381.9</v>
      </c>
      <c r="E134" s="11">
        <v>145.1</v>
      </c>
      <c r="F134" s="11">
        <v>17.899999999999999</v>
      </c>
      <c r="G134" s="11">
        <v>270</v>
      </c>
      <c r="H134" s="11">
        <v>228</v>
      </c>
      <c r="I134" s="11">
        <v>419</v>
      </c>
      <c r="J134" s="11">
        <v>512</v>
      </c>
      <c r="K134" s="11">
        <v>650</v>
      </c>
      <c r="L134" s="11">
        <v>163</v>
      </c>
      <c r="M134" s="11">
        <v>786</v>
      </c>
      <c r="N134" s="11"/>
    </row>
    <row r="135" spans="1:14" ht="18" customHeight="1" x14ac:dyDescent="0.35">
      <c r="A135" s="8" t="s">
        <v>20</v>
      </c>
      <c r="B135" s="9">
        <v>1432</v>
      </c>
      <c r="C135" s="9">
        <v>2.6</v>
      </c>
      <c r="D135" s="9">
        <v>286.60000000000002</v>
      </c>
      <c r="E135" s="9">
        <v>141.1</v>
      </c>
      <c r="F135" s="9">
        <v>30.6</v>
      </c>
      <c r="G135" s="9">
        <v>294</v>
      </c>
      <c r="H135" s="9">
        <v>214</v>
      </c>
      <c r="I135" s="9">
        <v>401</v>
      </c>
      <c r="J135" s="9">
        <v>500</v>
      </c>
      <c r="K135" s="9">
        <v>621</v>
      </c>
      <c r="L135" s="9">
        <v>179</v>
      </c>
      <c r="M135" s="9">
        <v>685</v>
      </c>
      <c r="N135" s="9"/>
    </row>
    <row r="136" spans="1:14" ht="18" customHeight="1" x14ac:dyDescent="0.35">
      <c r="A136" s="10" t="s">
        <v>21</v>
      </c>
      <c r="B136" s="11">
        <v>1566</v>
      </c>
      <c r="C136" s="11">
        <v>3</v>
      </c>
      <c r="D136" s="11">
        <v>403.1</v>
      </c>
      <c r="E136" s="11">
        <v>198</v>
      </c>
      <c r="F136" s="11">
        <v>31.6</v>
      </c>
      <c r="G136" s="11">
        <v>371</v>
      </c>
      <c r="H136" s="11">
        <v>338</v>
      </c>
      <c r="I136" s="11">
        <v>521</v>
      </c>
      <c r="J136" s="11">
        <v>595</v>
      </c>
      <c r="K136" s="11">
        <v>739</v>
      </c>
      <c r="L136" s="11">
        <v>172</v>
      </c>
      <c r="M136" s="11">
        <v>886</v>
      </c>
      <c r="N136" s="11"/>
    </row>
    <row r="137" spans="1:14" ht="19.5" customHeight="1" x14ac:dyDescent="0.35">
      <c r="A137" s="12" t="s">
        <v>22</v>
      </c>
      <c r="B137" s="13">
        <f>SUM(B133:B136)</f>
        <v>7207</v>
      </c>
      <c r="C137" s="13">
        <f>AVERAGE(C133:C136)</f>
        <v>2.2000000000000002</v>
      </c>
      <c r="D137" s="13">
        <f>SUM(D133:D136)</f>
        <v>1437.6999999999998</v>
      </c>
      <c r="E137" s="13">
        <f>SUM(E133:E136)</f>
        <v>605</v>
      </c>
      <c r="F137" s="13">
        <f>SUM(F133:F136)</f>
        <v>95.1</v>
      </c>
      <c r="G137" s="13">
        <f>AVERAGE(G133:G136)</f>
        <v>307.25</v>
      </c>
      <c r="H137" s="13">
        <f>AVERAGE(H133:H136)</f>
        <v>253.75</v>
      </c>
      <c r="I137" s="13">
        <f>MAX(I133:I136)</f>
        <v>521</v>
      </c>
      <c r="J137" s="13">
        <f>MAX(J133:J136)</f>
        <v>595</v>
      </c>
      <c r="K137" s="13">
        <f>MAX(K133:K136)</f>
        <v>739</v>
      </c>
      <c r="L137" s="13">
        <f>MIN(L133:L136)</f>
        <v>121</v>
      </c>
      <c r="M137" s="13">
        <f>MAX(M133:M136)</f>
        <v>886</v>
      </c>
      <c r="N137" s="13"/>
    </row>
    <row r="138" spans="1:14" ht="7.5" customHeight="1" x14ac:dyDescent="0.35"/>
    <row r="139" spans="1:14" ht="19.5" customHeight="1" x14ac:dyDescent="0.35">
      <c r="A139" s="6" t="s">
        <v>0</v>
      </c>
      <c r="B139" s="6"/>
      <c r="C139" s="6"/>
      <c r="D139" s="5" t="s">
        <v>51</v>
      </c>
      <c r="E139" s="5"/>
      <c r="F139" s="5"/>
      <c r="G139" s="5"/>
      <c r="H139" s="4" t="s">
        <v>52</v>
      </c>
      <c r="I139" s="4"/>
      <c r="J139" s="4"/>
      <c r="K139" s="4"/>
      <c r="L139" s="4"/>
      <c r="M139" s="4"/>
      <c r="N139" s="4"/>
    </row>
    <row r="140" spans="1:14" ht="19.5" customHeight="1" x14ac:dyDescent="0.35">
      <c r="A140" s="6" t="s">
        <v>3</v>
      </c>
      <c r="B140" s="6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27.75" customHeight="1" x14ac:dyDescent="0.35">
      <c r="A141" s="7" t="s">
        <v>4</v>
      </c>
      <c r="B141" s="7" t="s">
        <v>5</v>
      </c>
      <c r="C141" s="7" t="s">
        <v>6</v>
      </c>
      <c r="D141" s="7" t="s">
        <v>7</v>
      </c>
      <c r="E141" s="7" t="s">
        <v>8</v>
      </c>
      <c r="F141" s="7" t="s">
        <v>9</v>
      </c>
      <c r="G141" s="7" t="s">
        <v>10</v>
      </c>
      <c r="H141" s="7" t="s">
        <v>11</v>
      </c>
      <c r="I141" s="7" t="s">
        <v>12</v>
      </c>
      <c r="J141" s="7" t="s">
        <v>13</v>
      </c>
      <c r="K141" s="7" t="s">
        <v>14</v>
      </c>
      <c r="L141" s="7" t="s">
        <v>15</v>
      </c>
      <c r="M141" s="7" t="s">
        <v>16</v>
      </c>
      <c r="N141" s="7" t="s">
        <v>17</v>
      </c>
    </row>
    <row r="142" spans="1:14" ht="18" customHeight="1" x14ac:dyDescent="0.35">
      <c r="A142" s="8" t="s">
        <v>18</v>
      </c>
      <c r="B142" s="9">
        <v>1692</v>
      </c>
      <c r="C142" s="9">
        <v>3</v>
      </c>
      <c r="D142" s="9">
        <v>366</v>
      </c>
      <c r="E142" s="9">
        <v>139.9</v>
      </c>
      <c r="F142" s="9">
        <v>22.9</v>
      </c>
      <c r="G142" s="9">
        <v>267</v>
      </c>
      <c r="H142" s="9">
        <v>246</v>
      </c>
      <c r="I142" s="9">
        <v>451</v>
      </c>
      <c r="J142" s="9">
        <v>501</v>
      </c>
      <c r="K142" s="9">
        <v>627</v>
      </c>
      <c r="L142" s="9">
        <v>128</v>
      </c>
      <c r="M142" s="9">
        <v>744</v>
      </c>
      <c r="N142" s="9"/>
    </row>
    <row r="143" spans="1:14" ht="18" customHeight="1" x14ac:dyDescent="0.35">
      <c r="A143" s="10" t="s">
        <v>19</v>
      </c>
      <c r="B143" s="11">
        <v>1665</v>
      </c>
      <c r="C143" s="11">
        <v>0.6</v>
      </c>
      <c r="D143" s="11">
        <v>369.1</v>
      </c>
      <c r="E143" s="11">
        <v>133.6</v>
      </c>
      <c r="F143" s="11">
        <v>22.8</v>
      </c>
      <c r="G143" s="11">
        <v>227</v>
      </c>
      <c r="H143" s="11">
        <v>194</v>
      </c>
      <c r="I143" s="11">
        <v>351</v>
      </c>
      <c r="J143" s="11">
        <v>405</v>
      </c>
      <c r="K143" s="11">
        <v>562</v>
      </c>
      <c r="L143" s="11">
        <v>186</v>
      </c>
      <c r="M143" s="11">
        <v>700</v>
      </c>
      <c r="N143" s="11"/>
    </row>
    <row r="144" spans="1:14" ht="18" customHeight="1" x14ac:dyDescent="0.35">
      <c r="A144" s="8" t="s">
        <v>20</v>
      </c>
      <c r="B144" s="9">
        <v>1371</v>
      </c>
      <c r="C144" s="9">
        <v>2.7</v>
      </c>
      <c r="D144" s="9">
        <v>354.1</v>
      </c>
      <c r="E144" s="9">
        <v>150.80000000000001</v>
      </c>
      <c r="F144" s="9">
        <v>21.8</v>
      </c>
      <c r="G144" s="9">
        <v>165</v>
      </c>
      <c r="H144" s="9">
        <v>152</v>
      </c>
      <c r="I144" s="9">
        <v>273</v>
      </c>
      <c r="J144" s="9">
        <v>356</v>
      </c>
      <c r="K144" s="9">
        <v>464</v>
      </c>
      <c r="L144" s="9">
        <v>139</v>
      </c>
      <c r="M144" s="9">
        <v>564</v>
      </c>
      <c r="N144" s="9"/>
    </row>
    <row r="145" spans="1:14" ht="18" customHeight="1" x14ac:dyDescent="0.35">
      <c r="A145" s="10" t="s">
        <v>21</v>
      </c>
      <c r="B145" s="11">
        <v>1862</v>
      </c>
      <c r="C145" s="11">
        <v>2.8</v>
      </c>
      <c r="D145" s="11">
        <v>267.39999999999998</v>
      </c>
      <c r="E145" s="11">
        <v>206.6</v>
      </c>
      <c r="F145" s="11">
        <v>29.1</v>
      </c>
      <c r="G145" s="11">
        <v>163</v>
      </c>
      <c r="H145" s="11">
        <v>151</v>
      </c>
      <c r="I145" s="11">
        <v>294</v>
      </c>
      <c r="J145" s="11">
        <v>350</v>
      </c>
      <c r="K145" s="11">
        <v>501</v>
      </c>
      <c r="L145" s="11">
        <v>161</v>
      </c>
      <c r="M145" s="11">
        <v>551</v>
      </c>
      <c r="N145" s="11"/>
    </row>
    <row r="146" spans="1:14" ht="19.5" customHeight="1" x14ac:dyDescent="0.35">
      <c r="A146" s="12" t="s">
        <v>22</v>
      </c>
      <c r="B146" s="13">
        <f>SUM(B142:B145)</f>
        <v>6590</v>
      </c>
      <c r="C146" s="13">
        <f>AVERAGE(C142:C145)</f>
        <v>2.2750000000000004</v>
      </c>
      <c r="D146" s="13">
        <f>SUM(D142:D145)</f>
        <v>1356.6</v>
      </c>
      <c r="E146" s="13">
        <f>SUM(E142:E145)</f>
        <v>630.9</v>
      </c>
      <c r="F146" s="13">
        <f>SUM(F142:F145)</f>
        <v>96.6</v>
      </c>
      <c r="G146" s="13">
        <f>AVERAGE(G142:G145)</f>
        <v>205.5</v>
      </c>
      <c r="H146" s="13">
        <f>AVERAGE(H142:H145)</f>
        <v>185.75</v>
      </c>
      <c r="I146" s="13">
        <f>MAX(I142:I145)</f>
        <v>451</v>
      </c>
      <c r="J146" s="13">
        <f>MAX(J142:J145)</f>
        <v>501</v>
      </c>
      <c r="K146" s="13">
        <f>MAX(K142:K145)</f>
        <v>627</v>
      </c>
      <c r="L146" s="13">
        <f>MIN(L142:L145)</f>
        <v>128</v>
      </c>
      <c r="M146" s="13">
        <f>MAX(M142:M145)</f>
        <v>744</v>
      </c>
      <c r="N146" s="13"/>
    </row>
    <row r="147" spans="1:14" ht="7.5" customHeight="1" x14ac:dyDescent="0.35"/>
    <row r="148" spans="1:14" ht="19.5" customHeight="1" x14ac:dyDescent="0.35">
      <c r="A148" s="6" t="s">
        <v>0</v>
      </c>
      <c r="B148" s="6"/>
      <c r="C148" s="6"/>
      <c r="D148" s="5" t="s">
        <v>53</v>
      </c>
      <c r="E148" s="5"/>
      <c r="F148" s="5"/>
      <c r="G148" s="5"/>
      <c r="H148" s="4" t="s">
        <v>54</v>
      </c>
      <c r="I148" s="4"/>
      <c r="J148" s="4"/>
      <c r="K148" s="4"/>
      <c r="L148" s="4"/>
      <c r="M148" s="4"/>
      <c r="N148" s="4"/>
    </row>
    <row r="149" spans="1:14" ht="19.5" customHeight="1" x14ac:dyDescent="0.35">
      <c r="A149" s="6" t="s">
        <v>3</v>
      </c>
      <c r="B149" s="6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27.75" customHeight="1" x14ac:dyDescent="0.35">
      <c r="A150" s="7" t="s">
        <v>4</v>
      </c>
      <c r="B150" s="7" t="s">
        <v>5</v>
      </c>
      <c r="C150" s="7" t="s">
        <v>6</v>
      </c>
      <c r="D150" s="7" t="s">
        <v>7</v>
      </c>
      <c r="E150" s="7" t="s">
        <v>8</v>
      </c>
      <c r="F150" s="7" t="s">
        <v>9</v>
      </c>
      <c r="G150" s="7" t="s">
        <v>10</v>
      </c>
      <c r="H150" s="7" t="s">
        <v>11</v>
      </c>
      <c r="I150" s="7" t="s">
        <v>12</v>
      </c>
      <c r="J150" s="7" t="s">
        <v>13</v>
      </c>
      <c r="K150" s="7" t="s">
        <v>14</v>
      </c>
      <c r="L150" s="7" t="s">
        <v>15</v>
      </c>
      <c r="M150" s="7" t="s">
        <v>16</v>
      </c>
      <c r="N150" s="7" t="s">
        <v>17</v>
      </c>
    </row>
    <row r="151" spans="1:14" ht="18" customHeight="1" x14ac:dyDescent="0.35">
      <c r="A151" s="8" t="s">
        <v>18</v>
      </c>
      <c r="B151" s="9">
        <v>2148</v>
      </c>
      <c r="C151" s="9">
        <v>1.4</v>
      </c>
      <c r="D151" s="9">
        <v>397.7</v>
      </c>
      <c r="E151" s="9">
        <v>203.2</v>
      </c>
      <c r="F151" s="9">
        <v>26.3</v>
      </c>
      <c r="G151" s="9">
        <v>353</v>
      </c>
      <c r="H151" s="9">
        <v>291</v>
      </c>
      <c r="I151" s="9">
        <v>549</v>
      </c>
      <c r="J151" s="9">
        <v>616</v>
      </c>
      <c r="K151" s="9">
        <v>709</v>
      </c>
      <c r="L151" s="9">
        <v>110</v>
      </c>
      <c r="M151" s="9">
        <v>813</v>
      </c>
      <c r="N151" s="9"/>
    </row>
    <row r="152" spans="1:14" ht="18" customHeight="1" x14ac:dyDescent="0.35">
      <c r="A152" s="10" t="s">
        <v>19</v>
      </c>
      <c r="B152" s="11">
        <v>1845</v>
      </c>
      <c r="C152" s="11">
        <v>3.4</v>
      </c>
      <c r="D152" s="11">
        <v>448.1</v>
      </c>
      <c r="E152" s="11">
        <v>135.30000000000001</v>
      </c>
      <c r="F152" s="11">
        <v>28.8</v>
      </c>
      <c r="G152" s="11">
        <v>213</v>
      </c>
      <c r="H152" s="11">
        <v>210</v>
      </c>
      <c r="I152" s="11">
        <v>387</v>
      </c>
      <c r="J152" s="11">
        <v>428</v>
      </c>
      <c r="K152" s="11">
        <v>559</v>
      </c>
      <c r="L152" s="11">
        <v>190</v>
      </c>
      <c r="M152" s="11">
        <v>641</v>
      </c>
      <c r="N152" s="11"/>
    </row>
    <row r="153" spans="1:14" ht="18" customHeight="1" x14ac:dyDescent="0.35">
      <c r="A153" s="8" t="s">
        <v>20</v>
      </c>
      <c r="B153" s="9">
        <v>2099</v>
      </c>
      <c r="C153" s="9">
        <v>1.8</v>
      </c>
      <c r="D153" s="9">
        <v>396.5</v>
      </c>
      <c r="E153" s="9">
        <v>177.8</v>
      </c>
      <c r="F153" s="9">
        <v>20.8</v>
      </c>
      <c r="G153" s="9">
        <v>193</v>
      </c>
      <c r="H153" s="9">
        <v>179</v>
      </c>
      <c r="I153" s="9">
        <v>294</v>
      </c>
      <c r="J153" s="9">
        <v>385</v>
      </c>
      <c r="K153" s="9">
        <v>531</v>
      </c>
      <c r="L153" s="9">
        <v>166</v>
      </c>
      <c r="M153" s="9">
        <v>673</v>
      </c>
      <c r="N153" s="9"/>
    </row>
    <row r="154" spans="1:14" ht="18" customHeight="1" x14ac:dyDescent="0.35">
      <c r="A154" s="10" t="s">
        <v>21</v>
      </c>
      <c r="B154" s="11">
        <v>1704</v>
      </c>
      <c r="C154" s="11">
        <v>3.3</v>
      </c>
      <c r="D154" s="11">
        <v>430.3</v>
      </c>
      <c r="E154" s="11">
        <v>114.6</v>
      </c>
      <c r="F154" s="11">
        <v>18.600000000000001</v>
      </c>
      <c r="G154" s="11">
        <v>283</v>
      </c>
      <c r="H154" s="11">
        <v>247</v>
      </c>
      <c r="I154" s="11">
        <v>443</v>
      </c>
      <c r="J154" s="11">
        <v>517</v>
      </c>
      <c r="K154" s="11">
        <v>674</v>
      </c>
      <c r="L154" s="11">
        <v>176</v>
      </c>
      <c r="M154" s="11">
        <v>794</v>
      </c>
      <c r="N154" s="11"/>
    </row>
    <row r="155" spans="1:14" ht="19.5" customHeight="1" x14ac:dyDescent="0.35">
      <c r="A155" s="12" t="s">
        <v>22</v>
      </c>
      <c r="B155" s="13">
        <f>SUM(B151:B154)</f>
        <v>7796</v>
      </c>
      <c r="C155" s="13">
        <f>AVERAGE(C151:C154)</f>
        <v>2.4749999999999996</v>
      </c>
      <c r="D155" s="13">
        <f>SUM(D151:D154)</f>
        <v>1672.6</v>
      </c>
      <c r="E155" s="13">
        <f>SUM(E151:E154)</f>
        <v>630.9</v>
      </c>
      <c r="F155" s="13">
        <f>SUM(F151:F154)</f>
        <v>94.5</v>
      </c>
      <c r="G155" s="13">
        <f>AVERAGE(G151:G154)</f>
        <v>260.5</v>
      </c>
      <c r="H155" s="13">
        <f>AVERAGE(H151:H154)</f>
        <v>231.75</v>
      </c>
      <c r="I155" s="13">
        <f>MAX(I151:I154)</f>
        <v>549</v>
      </c>
      <c r="J155" s="13">
        <f>MAX(J151:J154)</f>
        <v>616</v>
      </c>
      <c r="K155" s="13">
        <f>MAX(K151:K154)</f>
        <v>709</v>
      </c>
      <c r="L155" s="13">
        <f>MIN(L151:L154)</f>
        <v>110</v>
      </c>
      <c r="M155" s="13">
        <f>MAX(M151:M154)</f>
        <v>813</v>
      </c>
      <c r="N155" s="13"/>
    </row>
    <row r="156" spans="1:14" ht="7.5" customHeight="1" x14ac:dyDescent="0.35"/>
    <row r="157" spans="1:14" ht="19.5" customHeight="1" x14ac:dyDescent="0.35">
      <c r="A157" s="6" t="s">
        <v>0</v>
      </c>
      <c r="B157" s="6"/>
      <c r="C157" s="6"/>
      <c r="D157" s="5" t="s">
        <v>55</v>
      </c>
      <c r="E157" s="5"/>
      <c r="F157" s="5"/>
      <c r="G157" s="5"/>
      <c r="H157" s="4" t="s">
        <v>56</v>
      </c>
      <c r="I157" s="4"/>
      <c r="J157" s="4"/>
      <c r="K157" s="4"/>
      <c r="L157" s="4"/>
      <c r="M157" s="4"/>
      <c r="N157" s="4"/>
    </row>
    <row r="158" spans="1:14" ht="19.5" customHeight="1" x14ac:dyDescent="0.35">
      <c r="A158" s="6" t="s">
        <v>3</v>
      </c>
      <c r="B158" s="6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27.75" customHeight="1" x14ac:dyDescent="0.35">
      <c r="A159" s="7" t="s">
        <v>4</v>
      </c>
      <c r="B159" s="7" t="s">
        <v>5</v>
      </c>
      <c r="C159" s="7" t="s">
        <v>6</v>
      </c>
      <c r="D159" s="7" t="s">
        <v>7</v>
      </c>
      <c r="E159" s="7" t="s">
        <v>8</v>
      </c>
      <c r="F159" s="7" t="s">
        <v>9</v>
      </c>
      <c r="G159" s="7" t="s">
        <v>10</v>
      </c>
      <c r="H159" s="7" t="s">
        <v>11</v>
      </c>
      <c r="I159" s="7" t="s">
        <v>12</v>
      </c>
      <c r="J159" s="7" t="s">
        <v>13</v>
      </c>
      <c r="K159" s="7" t="s">
        <v>14</v>
      </c>
      <c r="L159" s="7" t="s">
        <v>15</v>
      </c>
      <c r="M159" s="7" t="s">
        <v>16</v>
      </c>
      <c r="N159" s="7" t="s">
        <v>17</v>
      </c>
    </row>
    <row r="160" spans="1:14" ht="18" customHeight="1" x14ac:dyDescent="0.35">
      <c r="A160" s="8" t="s">
        <v>18</v>
      </c>
      <c r="B160" s="9">
        <v>1786</v>
      </c>
      <c r="C160" s="9">
        <v>0.7</v>
      </c>
      <c r="D160" s="9">
        <v>369.1</v>
      </c>
      <c r="E160" s="9">
        <v>134.69999999999999</v>
      </c>
      <c r="F160" s="9">
        <v>18</v>
      </c>
      <c r="G160" s="9">
        <v>281</v>
      </c>
      <c r="H160" s="9">
        <v>208</v>
      </c>
      <c r="I160" s="9">
        <v>401</v>
      </c>
      <c r="J160" s="9">
        <v>484</v>
      </c>
      <c r="K160" s="9">
        <v>581</v>
      </c>
      <c r="L160" s="9">
        <v>180</v>
      </c>
      <c r="M160" s="9">
        <v>693</v>
      </c>
      <c r="N160" s="9"/>
    </row>
    <row r="161" spans="1:14" ht="18" customHeight="1" x14ac:dyDescent="0.35">
      <c r="A161" s="10" t="s">
        <v>19</v>
      </c>
      <c r="B161" s="11">
        <v>1290</v>
      </c>
      <c r="C161" s="11">
        <v>2.7</v>
      </c>
      <c r="D161" s="11">
        <v>309.3</v>
      </c>
      <c r="E161" s="11">
        <v>124.1</v>
      </c>
      <c r="F161" s="11">
        <v>18.399999999999999</v>
      </c>
      <c r="G161" s="11">
        <v>287</v>
      </c>
      <c r="H161" s="11">
        <v>248</v>
      </c>
      <c r="I161" s="11">
        <v>391</v>
      </c>
      <c r="J161" s="11">
        <v>457</v>
      </c>
      <c r="K161" s="11">
        <v>589</v>
      </c>
      <c r="L161" s="11">
        <v>135</v>
      </c>
      <c r="M161" s="11">
        <v>700</v>
      </c>
      <c r="N161" s="11"/>
    </row>
    <row r="162" spans="1:14" ht="18" customHeight="1" x14ac:dyDescent="0.35">
      <c r="A162" s="8" t="s">
        <v>20</v>
      </c>
      <c r="B162" s="9">
        <v>1701</v>
      </c>
      <c r="C162" s="9">
        <v>2</v>
      </c>
      <c r="D162" s="9">
        <v>250.4</v>
      </c>
      <c r="E162" s="9">
        <v>172.9</v>
      </c>
      <c r="F162" s="9">
        <v>20.100000000000001</v>
      </c>
      <c r="G162" s="9">
        <v>204</v>
      </c>
      <c r="H162" s="9">
        <v>165</v>
      </c>
      <c r="I162" s="9">
        <v>384</v>
      </c>
      <c r="J162" s="9">
        <v>437</v>
      </c>
      <c r="K162" s="9">
        <v>568</v>
      </c>
      <c r="L162" s="9">
        <v>148</v>
      </c>
      <c r="M162" s="9">
        <v>649</v>
      </c>
      <c r="N162" s="9"/>
    </row>
    <row r="163" spans="1:14" ht="18" customHeight="1" x14ac:dyDescent="0.35">
      <c r="A163" s="10" t="s">
        <v>21</v>
      </c>
      <c r="B163" s="11">
        <v>2142</v>
      </c>
      <c r="C163" s="11">
        <v>1.8</v>
      </c>
      <c r="D163" s="11">
        <v>300</v>
      </c>
      <c r="E163" s="11">
        <v>150.69999999999999</v>
      </c>
      <c r="F163" s="11">
        <v>27.6</v>
      </c>
      <c r="G163" s="11">
        <v>165</v>
      </c>
      <c r="H163" s="11">
        <v>154</v>
      </c>
      <c r="I163" s="11">
        <v>346</v>
      </c>
      <c r="J163" s="11">
        <v>398</v>
      </c>
      <c r="K163" s="11">
        <v>497</v>
      </c>
      <c r="L163" s="11">
        <v>152</v>
      </c>
      <c r="M163" s="11">
        <v>628</v>
      </c>
      <c r="N163" s="11"/>
    </row>
    <row r="164" spans="1:14" ht="19.5" customHeight="1" x14ac:dyDescent="0.35">
      <c r="A164" s="12" t="s">
        <v>22</v>
      </c>
      <c r="B164" s="13">
        <f>SUM(B160:B163)</f>
        <v>6919</v>
      </c>
      <c r="C164" s="13">
        <f>AVERAGE(C160:C163)</f>
        <v>1.8</v>
      </c>
      <c r="D164" s="13">
        <f>SUM(D160:D163)</f>
        <v>1228.8000000000002</v>
      </c>
      <c r="E164" s="13">
        <f>SUM(E160:E163)</f>
        <v>582.39999999999986</v>
      </c>
      <c r="F164" s="13">
        <f>SUM(F160:F163)</f>
        <v>84.1</v>
      </c>
      <c r="G164" s="13">
        <f>AVERAGE(G160:G163)</f>
        <v>234.25</v>
      </c>
      <c r="H164" s="13">
        <f>AVERAGE(H160:H163)</f>
        <v>193.75</v>
      </c>
      <c r="I164" s="13">
        <f>MAX(I160:I163)</f>
        <v>401</v>
      </c>
      <c r="J164" s="13">
        <f>MAX(J160:J163)</f>
        <v>484</v>
      </c>
      <c r="K164" s="13">
        <f>MAX(K160:K163)</f>
        <v>589</v>
      </c>
      <c r="L164" s="13">
        <f>MIN(L160:L163)</f>
        <v>135</v>
      </c>
      <c r="M164" s="13">
        <f>MAX(M160:M163)</f>
        <v>700</v>
      </c>
      <c r="N164" s="13"/>
    </row>
    <row r="165" spans="1:14" ht="7.5" customHeight="1" x14ac:dyDescent="0.35"/>
    <row r="166" spans="1:14" ht="19.5" customHeight="1" x14ac:dyDescent="0.35">
      <c r="A166" s="6" t="s">
        <v>0</v>
      </c>
      <c r="B166" s="6"/>
      <c r="C166" s="6"/>
      <c r="D166" s="5" t="s">
        <v>57</v>
      </c>
      <c r="E166" s="5"/>
      <c r="F166" s="5"/>
      <c r="G166" s="5"/>
      <c r="H166" s="4" t="s">
        <v>58</v>
      </c>
      <c r="I166" s="4"/>
      <c r="J166" s="4"/>
      <c r="K166" s="4"/>
      <c r="L166" s="4"/>
      <c r="M166" s="4"/>
      <c r="N166" s="4"/>
    </row>
    <row r="167" spans="1:14" ht="19.5" customHeight="1" x14ac:dyDescent="0.35">
      <c r="A167" s="6" t="s">
        <v>3</v>
      </c>
      <c r="B167" s="6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27.75" customHeight="1" x14ac:dyDescent="0.35">
      <c r="A168" s="7" t="s">
        <v>4</v>
      </c>
      <c r="B168" s="7" t="s">
        <v>5</v>
      </c>
      <c r="C168" s="7" t="s">
        <v>6</v>
      </c>
      <c r="D168" s="7" t="s">
        <v>7</v>
      </c>
      <c r="E168" s="7" t="s">
        <v>8</v>
      </c>
      <c r="F168" s="7" t="s">
        <v>9</v>
      </c>
      <c r="G168" s="7" t="s">
        <v>10</v>
      </c>
      <c r="H168" s="7" t="s">
        <v>11</v>
      </c>
      <c r="I168" s="7" t="s">
        <v>12</v>
      </c>
      <c r="J168" s="7" t="s">
        <v>13</v>
      </c>
      <c r="K168" s="7" t="s">
        <v>14</v>
      </c>
      <c r="L168" s="7" t="s">
        <v>15</v>
      </c>
      <c r="M168" s="7" t="s">
        <v>16</v>
      </c>
      <c r="N168" s="7" t="s">
        <v>17</v>
      </c>
    </row>
    <row r="169" spans="1:14" ht="18" customHeight="1" x14ac:dyDescent="0.35">
      <c r="A169" s="8" t="s">
        <v>18</v>
      </c>
      <c r="B169" s="9">
        <v>1705</v>
      </c>
      <c r="C169" s="9">
        <v>1.6</v>
      </c>
      <c r="D169" s="9">
        <v>314.5</v>
      </c>
      <c r="E169" s="9">
        <v>171.6</v>
      </c>
      <c r="F169" s="9">
        <v>28.1</v>
      </c>
      <c r="G169" s="9">
        <v>299</v>
      </c>
      <c r="H169" s="9">
        <v>158</v>
      </c>
      <c r="I169" s="9">
        <v>494</v>
      </c>
      <c r="J169" s="9">
        <v>539</v>
      </c>
      <c r="K169" s="9">
        <v>655</v>
      </c>
      <c r="L169" s="9">
        <v>184</v>
      </c>
      <c r="M169" s="9">
        <v>738</v>
      </c>
      <c r="N169" s="9"/>
    </row>
    <row r="170" spans="1:14" ht="18" customHeight="1" x14ac:dyDescent="0.35">
      <c r="A170" s="10" t="s">
        <v>19</v>
      </c>
      <c r="B170" s="11">
        <v>2193</v>
      </c>
      <c r="C170" s="11">
        <v>1.4</v>
      </c>
      <c r="D170" s="11">
        <v>251.3</v>
      </c>
      <c r="E170" s="11">
        <v>160.4</v>
      </c>
      <c r="F170" s="11">
        <v>17.7</v>
      </c>
      <c r="G170" s="11">
        <v>233</v>
      </c>
      <c r="H170" s="11">
        <v>169</v>
      </c>
      <c r="I170" s="11">
        <v>333</v>
      </c>
      <c r="J170" s="11">
        <v>431</v>
      </c>
      <c r="K170" s="11">
        <v>563</v>
      </c>
      <c r="L170" s="11">
        <v>141</v>
      </c>
      <c r="M170" s="11">
        <v>696</v>
      </c>
      <c r="N170" s="11"/>
    </row>
    <row r="171" spans="1:14" ht="18" customHeight="1" x14ac:dyDescent="0.35">
      <c r="A171" s="8" t="s">
        <v>20</v>
      </c>
      <c r="B171" s="9">
        <v>1779</v>
      </c>
      <c r="C171" s="9">
        <v>3.2</v>
      </c>
      <c r="D171" s="9">
        <v>308.10000000000002</v>
      </c>
      <c r="E171" s="9">
        <v>167.8</v>
      </c>
      <c r="F171" s="9">
        <v>17.2</v>
      </c>
      <c r="G171" s="9">
        <v>190</v>
      </c>
      <c r="H171" s="9">
        <v>170</v>
      </c>
      <c r="I171" s="9">
        <v>300</v>
      </c>
      <c r="J171" s="9">
        <v>398</v>
      </c>
      <c r="K171" s="9">
        <v>520</v>
      </c>
      <c r="L171" s="9">
        <v>132</v>
      </c>
      <c r="M171" s="9">
        <v>633</v>
      </c>
      <c r="N171" s="9"/>
    </row>
    <row r="172" spans="1:14" ht="18" customHeight="1" x14ac:dyDescent="0.35">
      <c r="A172" s="10" t="s">
        <v>21</v>
      </c>
      <c r="B172" s="11">
        <v>2099</v>
      </c>
      <c r="C172" s="11">
        <v>0.7</v>
      </c>
      <c r="D172" s="11">
        <v>423</v>
      </c>
      <c r="E172" s="11">
        <v>160.4</v>
      </c>
      <c r="F172" s="11">
        <v>29.3</v>
      </c>
      <c r="G172" s="11">
        <v>219</v>
      </c>
      <c r="H172" s="11">
        <v>173</v>
      </c>
      <c r="I172" s="11">
        <v>351</v>
      </c>
      <c r="J172" s="11">
        <v>397</v>
      </c>
      <c r="K172" s="11">
        <v>527</v>
      </c>
      <c r="L172" s="11">
        <v>163</v>
      </c>
      <c r="M172" s="11">
        <v>637</v>
      </c>
      <c r="N172" s="11"/>
    </row>
    <row r="173" spans="1:14" ht="19.5" customHeight="1" x14ac:dyDescent="0.35">
      <c r="A173" s="12" t="s">
        <v>22</v>
      </c>
      <c r="B173" s="13">
        <f>SUM(B169:B172)</f>
        <v>7776</v>
      </c>
      <c r="C173" s="13">
        <f>AVERAGE(C169:C172)</f>
        <v>1.7250000000000001</v>
      </c>
      <c r="D173" s="13">
        <f>SUM(D169:D172)</f>
        <v>1296.9000000000001</v>
      </c>
      <c r="E173" s="13">
        <f>SUM(E169:E172)</f>
        <v>660.2</v>
      </c>
      <c r="F173" s="13">
        <f>SUM(F169:F172)</f>
        <v>92.3</v>
      </c>
      <c r="G173" s="13">
        <f>AVERAGE(G169:G172)</f>
        <v>235.25</v>
      </c>
      <c r="H173" s="13">
        <f>AVERAGE(H169:H172)</f>
        <v>167.5</v>
      </c>
      <c r="I173" s="13">
        <f>MAX(I169:I172)</f>
        <v>494</v>
      </c>
      <c r="J173" s="13">
        <f>MAX(J169:J172)</f>
        <v>539</v>
      </c>
      <c r="K173" s="13">
        <f>MAX(K169:K172)</f>
        <v>655</v>
      </c>
      <c r="L173" s="13">
        <f>MIN(L169:L172)</f>
        <v>132</v>
      </c>
      <c r="M173" s="13">
        <f>MAX(M169:M172)</f>
        <v>738</v>
      </c>
      <c r="N173" s="13"/>
    </row>
    <row r="174" spans="1:14" ht="7.5" customHeight="1" x14ac:dyDescent="0.35"/>
    <row r="175" spans="1:14" ht="19.5" customHeight="1" x14ac:dyDescent="0.35">
      <c r="A175" s="6" t="s">
        <v>0</v>
      </c>
      <c r="B175" s="6"/>
      <c r="C175" s="6"/>
      <c r="D175" s="5" t="s">
        <v>59</v>
      </c>
      <c r="E175" s="5"/>
      <c r="F175" s="5"/>
      <c r="G175" s="5"/>
      <c r="H175" s="4" t="s">
        <v>60</v>
      </c>
      <c r="I175" s="4"/>
      <c r="J175" s="4"/>
      <c r="K175" s="4"/>
      <c r="L175" s="4"/>
      <c r="M175" s="4"/>
      <c r="N175" s="4"/>
    </row>
    <row r="176" spans="1:14" ht="19.5" customHeight="1" x14ac:dyDescent="0.35">
      <c r="A176" s="6" t="s">
        <v>3</v>
      </c>
      <c r="B176" s="6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27.75" customHeight="1" x14ac:dyDescent="0.35">
      <c r="A177" s="7" t="s">
        <v>4</v>
      </c>
      <c r="B177" s="7" t="s">
        <v>5</v>
      </c>
      <c r="C177" s="7" t="s">
        <v>6</v>
      </c>
      <c r="D177" s="7" t="s">
        <v>7</v>
      </c>
      <c r="E177" s="7" t="s">
        <v>8</v>
      </c>
      <c r="F177" s="7" t="s">
        <v>9</v>
      </c>
      <c r="G177" s="7" t="s">
        <v>10</v>
      </c>
      <c r="H177" s="7" t="s">
        <v>11</v>
      </c>
      <c r="I177" s="7" t="s">
        <v>12</v>
      </c>
      <c r="J177" s="7" t="s">
        <v>13</v>
      </c>
      <c r="K177" s="7" t="s">
        <v>14</v>
      </c>
      <c r="L177" s="7" t="s">
        <v>15</v>
      </c>
      <c r="M177" s="7" t="s">
        <v>16</v>
      </c>
      <c r="N177" s="7" t="s">
        <v>17</v>
      </c>
    </row>
    <row r="178" spans="1:14" ht="18" customHeight="1" x14ac:dyDescent="0.35">
      <c r="A178" s="8" t="s">
        <v>18</v>
      </c>
      <c r="B178" s="9">
        <v>1990</v>
      </c>
      <c r="C178" s="9">
        <v>3.1</v>
      </c>
      <c r="D178" s="9">
        <v>256</v>
      </c>
      <c r="E178" s="9">
        <v>111.8</v>
      </c>
      <c r="F178" s="9">
        <v>27.4</v>
      </c>
      <c r="G178" s="9">
        <v>333</v>
      </c>
      <c r="H178" s="9">
        <v>207</v>
      </c>
      <c r="I178" s="9">
        <v>434</v>
      </c>
      <c r="J178" s="9">
        <v>506</v>
      </c>
      <c r="K178" s="9">
        <v>610</v>
      </c>
      <c r="L178" s="9">
        <v>190</v>
      </c>
      <c r="M178" s="9">
        <v>708</v>
      </c>
      <c r="N178" s="9"/>
    </row>
    <row r="179" spans="1:14" ht="18" customHeight="1" x14ac:dyDescent="0.35">
      <c r="A179" s="10" t="s">
        <v>19</v>
      </c>
      <c r="B179" s="11">
        <v>2058</v>
      </c>
      <c r="C179" s="11">
        <v>2.4</v>
      </c>
      <c r="D179" s="11">
        <v>312.2</v>
      </c>
      <c r="E179" s="11">
        <v>114.9</v>
      </c>
      <c r="F179" s="11">
        <v>18</v>
      </c>
      <c r="G179" s="11">
        <v>314</v>
      </c>
      <c r="H179" s="11">
        <v>198</v>
      </c>
      <c r="I179" s="11">
        <v>499</v>
      </c>
      <c r="J179" s="11">
        <v>592</v>
      </c>
      <c r="K179" s="11">
        <v>724</v>
      </c>
      <c r="L179" s="11">
        <v>188</v>
      </c>
      <c r="M179" s="11">
        <v>830</v>
      </c>
      <c r="N179" s="11"/>
    </row>
    <row r="180" spans="1:14" ht="18" customHeight="1" x14ac:dyDescent="0.35">
      <c r="A180" s="8" t="s">
        <v>20</v>
      </c>
      <c r="B180" s="9">
        <v>2143</v>
      </c>
      <c r="C180" s="9">
        <v>1.4</v>
      </c>
      <c r="D180" s="9">
        <v>358.3</v>
      </c>
      <c r="E180" s="9">
        <v>152.30000000000001</v>
      </c>
      <c r="F180" s="9">
        <v>18.399999999999999</v>
      </c>
      <c r="G180" s="9">
        <v>173</v>
      </c>
      <c r="H180" s="9">
        <v>172</v>
      </c>
      <c r="I180" s="9">
        <v>329</v>
      </c>
      <c r="J180" s="9">
        <v>411</v>
      </c>
      <c r="K180" s="9">
        <v>562</v>
      </c>
      <c r="L180" s="9">
        <v>118</v>
      </c>
      <c r="M180" s="9">
        <v>629</v>
      </c>
      <c r="N180" s="9"/>
    </row>
    <row r="181" spans="1:14" ht="18" customHeight="1" x14ac:dyDescent="0.35">
      <c r="A181" s="10" t="s">
        <v>21</v>
      </c>
      <c r="B181" s="11">
        <v>2088</v>
      </c>
      <c r="C181" s="11">
        <v>1</v>
      </c>
      <c r="D181" s="11">
        <v>331</v>
      </c>
      <c r="E181" s="11">
        <v>190.9</v>
      </c>
      <c r="F181" s="11">
        <v>16.8</v>
      </c>
      <c r="G181" s="11">
        <v>298</v>
      </c>
      <c r="H181" s="11">
        <v>271</v>
      </c>
      <c r="I181" s="11">
        <v>490</v>
      </c>
      <c r="J181" s="11">
        <v>543</v>
      </c>
      <c r="K181" s="11">
        <v>663</v>
      </c>
      <c r="L181" s="11">
        <v>131</v>
      </c>
      <c r="M181" s="11">
        <v>783</v>
      </c>
      <c r="N181" s="11"/>
    </row>
    <row r="182" spans="1:14" ht="19.5" customHeight="1" x14ac:dyDescent="0.35">
      <c r="A182" s="12" t="s">
        <v>22</v>
      </c>
      <c r="B182" s="13">
        <f>SUM(B178:B181)</f>
        <v>8279</v>
      </c>
      <c r="C182" s="13">
        <f>AVERAGE(C178:C181)</f>
        <v>1.9750000000000001</v>
      </c>
      <c r="D182" s="13">
        <f>SUM(D178:D181)</f>
        <v>1257.5</v>
      </c>
      <c r="E182" s="13">
        <f>SUM(E178:E181)</f>
        <v>569.9</v>
      </c>
      <c r="F182" s="13">
        <f>SUM(F178:F181)</f>
        <v>80.599999999999994</v>
      </c>
      <c r="G182" s="13">
        <f>AVERAGE(G178:G181)</f>
        <v>279.5</v>
      </c>
      <c r="H182" s="13">
        <f>AVERAGE(H178:H181)</f>
        <v>212</v>
      </c>
      <c r="I182" s="13">
        <f>MAX(I178:I181)</f>
        <v>499</v>
      </c>
      <c r="J182" s="13">
        <f>MAX(J178:J181)</f>
        <v>592</v>
      </c>
      <c r="K182" s="13">
        <f>MAX(K178:K181)</f>
        <v>724</v>
      </c>
      <c r="L182" s="13">
        <f>MIN(L178:L181)</f>
        <v>118</v>
      </c>
      <c r="M182" s="13">
        <f>MAX(M178:M181)</f>
        <v>830</v>
      </c>
      <c r="N182" s="13"/>
    </row>
    <row r="183" spans="1:14" ht="7.5" customHeight="1" x14ac:dyDescent="0.35"/>
  </sheetData>
  <mergeCells count="100">
    <mergeCell ref="A175:C175"/>
    <mergeCell ref="D175:G175"/>
    <mergeCell ref="H175:N175"/>
    <mergeCell ref="A176:C176"/>
    <mergeCell ref="D176:N176"/>
    <mergeCell ref="A166:C166"/>
    <mergeCell ref="D166:G166"/>
    <mergeCell ref="H166:N166"/>
    <mergeCell ref="A167:C167"/>
    <mergeCell ref="D167:N167"/>
    <mergeCell ref="A157:C157"/>
    <mergeCell ref="D157:G157"/>
    <mergeCell ref="H157:N157"/>
    <mergeCell ref="A158:C158"/>
    <mergeCell ref="D158:N158"/>
    <mergeCell ref="A148:C148"/>
    <mergeCell ref="D148:G148"/>
    <mergeCell ref="H148:N148"/>
    <mergeCell ref="A149:C149"/>
    <mergeCell ref="D149:N149"/>
    <mergeCell ref="A139:C139"/>
    <mergeCell ref="D139:G139"/>
    <mergeCell ref="H139:N139"/>
    <mergeCell ref="A140:C140"/>
    <mergeCell ref="D140:N140"/>
    <mergeCell ref="A130:C130"/>
    <mergeCell ref="D130:G130"/>
    <mergeCell ref="H130:N130"/>
    <mergeCell ref="A131:C131"/>
    <mergeCell ref="D131:N131"/>
    <mergeCell ref="A121:C121"/>
    <mergeCell ref="D121:G121"/>
    <mergeCell ref="H121:N121"/>
    <mergeCell ref="A122:C122"/>
    <mergeCell ref="D122:N122"/>
    <mergeCell ref="A112:C112"/>
    <mergeCell ref="D112:G112"/>
    <mergeCell ref="H112:N112"/>
    <mergeCell ref="A113:C113"/>
    <mergeCell ref="D113:N113"/>
    <mergeCell ref="A103:C103"/>
    <mergeCell ref="D103:G103"/>
    <mergeCell ref="H103:N103"/>
    <mergeCell ref="A104:C104"/>
    <mergeCell ref="D104:N104"/>
    <mergeCell ref="A94:C94"/>
    <mergeCell ref="D94:G94"/>
    <mergeCell ref="H94:N94"/>
    <mergeCell ref="A95:C95"/>
    <mergeCell ref="D95:N95"/>
    <mergeCell ref="A85:C85"/>
    <mergeCell ref="D85:G85"/>
    <mergeCell ref="H85:N85"/>
    <mergeCell ref="A86:C86"/>
    <mergeCell ref="D86:N86"/>
    <mergeCell ref="A76:C76"/>
    <mergeCell ref="D76:G76"/>
    <mergeCell ref="H76:N76"/>
    <mergeCell ref="A77:C77"/>
    <mergeCell ref="D77:N77"/>
    <mergeCell ref="A67:C67"/>
    <mergeCell ref="D67:G67"/>
    <mergeCell ref="H67:N67"/>
    <mergeCell ref="A68:C68"/>
    <mergeCell ref="D68:N68"/>
    <mergeCell ref="A58:C58"/>
    <mergeCell ref="D58:G58"/>
    <mergeCell ref="H58:N58"/>
    <mergeCell ref="A59:C59"/>
    <mergeCell ref="D59:N59"/>
    <mergeCell ref="A49:C49"/>
    <mergeCell ref="D49:G49"/>
    <mergeCell ref="H49:N49"/>
    <mergeCell ref="A50:C50"/>
    <mergeCell ref="D50:N50"/>
    <mergeCell ref="A40:C40"/>
    <mergeCell ref="D40:G40"/>
    <mergeCell ref="H40:N40"/>
    <mergeCell ref="A41:C41"/>
    <mergeCell ref="D41:N41"/>
    <mergeCell ref="A31:C31"/>
    <mergeCell ref="D31:G31"/>
    <mergeCell ref="H31:N31"/>
    <mergeCell ref="A32:C32"/>
    <mergeCell ref="D32:N32"/>
    <mergeCell ref="A22:C22"/>
    <mergeCell ref="D22:G22"/>
    <mergeCell ref="H22:N22"/>
    <mergeCell ref="A23:C23"/>
    <mergeCell ref="D23:N23"/>
    <mergeCell ref="A13:C13"/>
    <mergeCell ref="D13:G13"/>
    <mergeCell ref="H13:N13"/>
    <mergeCell ref="A14:C14"/>
    <mergeCell ref="D14:N14"/>
    <mergeCell ref="A4:C4"/>
    <mergeCell ref="D4:G4"/>
    <mergeCell ref="H4:N4"/>
    <mergeCell ref="A5:C5"/>
    <mergeCell ref="D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3"/>
  <sheetViews>
    <sheetView zoomScaleNormal="100" workbookViewId="0">
      <selection activeCell="B1" sqref="A1:B1"/>
    </sheetView>
  </sheetViews>
  <sheetFormatPr defaultColWidth="8.6328125" defaultRowHeight="14.5" x14ac:dyDescent="0.35"/>
  <cols>
    <col min="1" max="1" width="24" customWidth="1"/>
    <col min="2" max="2" width="12" customWidth="1"/>
    <col min="3" max="3" width="10" customWidth="1"/>
    <col min="4" max="4" width="16" customWidth="1"/>
    <col min="5" max="5" width="18" customWidth="1"/>
    <col min="6" max="6" width="14" customWidth="1"/>
    <col min="7" max="11" width="12" customWidth="1"/>
    <col min="12" max="13" width="10" customWidth="1"/>
    <col min="14" max="14" width="18" customWidth="1"/>
  </cols>
  <sheetData>
    <row r="1" spans="1:14" x14ac:dyDescent="0.35">
      <c r="A1" t="s">
        <v>65</v>
      </c>
      <c r="B1" t="s">
        <v>66</v>
      </c>
    </row>
    <row r="2" spans="1:14" x14ac:dyDescent="0.35">
      <c r="A2" t="s">
        <v>61</v>
      </c>
      <c r="B2" t="s">
        <v>63</v>
      </c>
    </row>
    <row r="3" spans="1:14" x14ac:dyDescent="0.35">
      <c r="A3" t="s">
        <v>67</v>
      </c>
      <c r="B3" t="s">
        <v>68</v>
      </c>
    </row>
    <row r="4" spans="1:14" ht="19.5" customHeight="1" x14ac:dyDescent="0.35">
      <c r="A4" s="2" t="s">
        <v>0</v>
      </c>
      <c r="B4" s="2"/>
      <c r="C4" s="2"/>
      <c r="D4" s="5" t="s">
        <v>1</v>
      </c>
      <c r="E4" s="5"/>
      <c r="F4" s="5"/>
      <c r="G4" s="5"/>
      <c r="H4" s="4" t="s">
        <v>2</v>
      </c>
      <c r="I4" s="4"/>
      <c r="J4" s="4"/>
      <c r="K4" s="4"/>
      <c r="L4" s="4"/>
      <c r="M4" s="4"/>
      <c r="N4" s="4"/>
    </row>
    <row r="5" spans="1:14" ht="19.5" customHeight="1" x14ac:dyDescent="0.35">
      <c r="A5" s="2" t="s">
        <v>3</v>
      </c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7.75" customHeight="1" x14ac:dyDescent="0.35">
      <c r="A6" s="14" t="s">
        <v>4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14" t="s">
        <v>13</v>
      </c>
      <c r="K6" s="14" t="s">
        <v>14</v>
      </c>
      <c r="L6" s="14" t="s">
        <v>15</v>
      </c>
      <c r="M6" s="14" t="s">
        <v>16</v>
      </c>
      <c r="N6" s="14" t="s">
        <v>17</v>
      </c>
    </row>
    <row r="7" spans="1:14" ht="18" customHeight="1" x14ac:dyDescent="0.35">
      <c r="A7" s="15" t="s">
        <v>18</v>
      </c>
      <c r="B7" s="16">
        <v>1452</v>
      </c>
      <c r="C7" s="16">
        <v>2.4</v>
      </c>
      <c r="D7" s="16">
        <v>403.3</v>
      </c>
      <c r="E7" s="16">
        <v>182.7</v>
      </c>
      <c r="F7" s="16">
        <v>22.2</v>
      </c>
      <c r="G7" s="16">
        <v>355</v>
      </c>
      <c r="H7" s="16">
        <v>229</v>
      </c>
      <c r="I7" s="16">
        <v>472</v>
      </c>
      <c r="J7" s="16">
        <v>539</v>
      </c>
      <c r="K7" s="16">
        <v>688</v>
      </c>
      <c r="L7" s="16">
        <v>196</v>
      </c>
      <c r="M7" s="16">
        <v>753</v>
      </c>
      <c r="N7" s="16"/>
    </row>
    <row r="8" spans="1:14" ht="18" customHeight="1" x14ac:dyDescent="0.35">
      <c r="A8" s="10" t="s">
        <v>19</v>
      </c>
      <c r="B8" s="11">
        <v>1456</v>
      </c>
      <c r="C8" s="11">
        <v>1.4</v>
      </c>
      <c r="D8" s="11">
        <v>256.89999999999998</v>
      </c>
      <c r="E8" s="11">
        <v>176</v>
      </c>
      <c r="F8" s="11">
        <v>30.7</v>
      </c>
      <c r="G8" s="11">
        <v>376</v>
      </c>
      <c r="H8" s="11">
        <v>230</v>
      </c>
      <c r="I8" s="11">
        <v>500</v>
      </c>
      <c r="J8" s="11">
        <v>551</v>
      </c>
      <c r="K8" s="11">
        <v>706</v>
      </c>
      <c r="L8" s="11">
        <v>124</v>
      </c>
      <c r="M8" s="11">
        <v>775</v>
      </c>
      <c r="N8" s="11"/>
    </row>
    <row r="9" spans="1:14" ht="18" customHeight="1" x14ac:dyDescent="0.35">
      <c r="A9" s="15" t="s">
        <v>20</v>
      </c>
      <c r="B9" s="16">
        <v>1952</v>
      </c>
      <c r="C9" s="16">
        <v>2.1</v>
      </c>
      <c r="D9" s="16">
        <v>298.8</v>
      </c>
      <c r="E9" s="16">
        <v>121.3</v>
      </c>
      <c r="F9" s="16">
        <v>31.3</v>
      </c>
      <c r="G9" s="16">
        <v>176</v>
      </c>
      <c r="H9" s="16">
        <v>165</v>
      </c>
      <c r="I9" s="16">
        <v>300</v>
      </c>
      <c r="J9" s="16">
        <v>349</v>
      </c>
      <c r="K9" s="16">
        <v>487</v>
      </c>
      <c r="L9" s="16">
        <v>134</v>
      </c>
      <c r="M9" s="16">
        <v>548</v>
      </c>
      <c r="N9" s="16"/>
    </row>
    <row r="10" spans="1:14" ht="18" customHeight="1" x14ac:dyDescent="0.35">
      <c r="A10" s="10" t="s">
        <v>21</v>
      </c>
      <c r="B10" s="11">
        <v>1448</v>
      </c>
      <c r="C10" s="11">
        <v>1.3</v>
      </c>
      <c r="D10" s="11">
        <v>336.9</v>
      </c>
      <c r="E10" s="11">
        <v>192.2</v>
      </c>
      <c r="F10" s="11">
        <v>16.2</v>
      </c>
      <c r="G10" s="11">
        <v>239</v>
      </c>
      <c r="H10" s="11">
        <v>201</v>
      </c>
      <c r="I10" s="11">
        <v>376</v>
      </c>
      <c r="J10" s="11">
        <v>467</v>
      </c>
      <c r="K10" s="11">
        <v>585</v>
      </c>
      <c r="L10" s="11">
        <v>199</v>
      </c>
      <c r="M10" s="11">
        <v>640</v>
      </c>
      <c r="N10" s="11"/>
    </row>
    <row r="11" spans="1:14" ht="19.5" customHeight="1" x14ac:dyDescent="0.35">
      <c r="A11" s="17" t="s">
        <v>22</v>
      </c>
      <c r="B11" s="18">
        <f>SUM(B7:B10)</f>
        <v>6308</v>
      </c>
      <c r="C11" s="18">
        <f>AVERAGE(C7:C10)</f>
        <v>1.8</v>
      </c>
      <c r="D11" s="18">
        <f>SUM(D7:D10)</f>
        <v>1295.9000000000001</v>
      </c>
      <c r="E11" s="18">
        <f>SUM(E7:E10)</f>
        <v>672.2</v>
      </c>
      <c r="F11" s="18">
        <f>SUM(F7:F10)</f>
        <v>100.4</v>
      </c>
      <c r="G11" s="18">
        <f>AVERAGE(G7:G10)</f>
        <v>286.5</v>
      </c>
      <c r="H11" s="18">
        <f>AVERAGE(H7:H10)</f>
        <v>206.25</v>
      </c>
      <c r="I11" s="18">
        <f>MAX(I7:I10)</f>
        <v>500</v>
      </c>
      <c r="J11" s="18">
        <f>MAX(J7:J10)</f>
        <v>551</v>
      </c>
      <c r="K11" s="18">
        <f>MAX(K7:K10)</f>
        <v>706</v>
      </c>
      <c r="L11" s="18">
        <f>MIN(L7:L10)</f>
        <v>124</v>
      </c>
      <c r="M11" s="18">
        <f>MAX(M7:M10)</f>
        <v>775</v>
      </c>
      <c r="N11" s="18"/>
    </row>
    <row r="12" spans="1:14" ht="7.5" customHeight="1" x14ac:dyDescent="0.35"/>
    <row r="13" spans="1:14" ht="19.5" customHeight="1" x14ac:dyDescent="0.35">
      <c r="A13" s="2" t="s">
        <v>0</v>
      </c>
      <c r="B13" s="2"/>
      <c r="C13" s="2"/>
      <c r="D13" s="5" t="s">
        <v>23</v>
      </c>
      <c r="E13" s="5"/>
      <c r="F13" s="5"/>
      <c r="G13" s="5"/>
      <c r="H13" s="4" t="s">
        <v>24</v>
      </c>
      <c r="I13" s="4"/>
      <c r="J13" s="4"/>
      <c r="K13" s="4"/>
      <c r="L13" s="4"/>
      <c r="M13" s="4"/>
      <c r="N13" s="4"/>
    </row>
    <row r="14" spans="1:14" ht="19.5" customHeight="1" x14ac:dyDescent="0.35">
      <c r="A14" s="2" t="s">
        <v>3</v>
      </c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7.75" customHeight="1" x14ac:dyDescent="0.35">
      <c r="A15" s="14" t="s">
        <v>4</v>
      </c>
      <c r="B15" s="14" t="s">
        <v>5</v>
      </c>
      <c r="C15" s="14" t="s">
        <v>6</v>
      </c>
      <c r="D15" s="14" t="s">
        <v>7</v>
      </c>
      <c r="E15" s="14" t="s">
        <v>8</v>
      </c>
      <c r="F15" s="14" t="s">
        <v>9</v>
      </c>
      <c r="G15" s="14" t="s">
        <v>10</v>
      </c>
      <c r="H15" s="14" t="s">
        <v>11</v>
      </c>
      <c r="I15" s="14" t="s">
        <v>12</v>
      </c>
      <c r="J15" s="14" t="s">
        <v>13</v>
      </c>
      <c r="K15" s="14" t="s">
        <v>14</v>
      </c>
      <c r="L15" s="14" t="s">
        <v>15</v>
      </c>
      <c r="M15" s="14" t="s">
        <v>16</v>
      </c>
      <c r="N15" s="14" t="s">
        <v>17</v>
      </c>
    </row>
    <row r="16" spans="1:14" ht="18" customHeight="1" x14ac:dyDescent="0.35">
      <c r="A16" s="15" t="s">
        <v>18</v>
      </c>
      <c r="B16" s="16">
        <v>1446</v>
      </c>
      <c r="C16" s="16">
        <v>2.2000000000000002</v>
      </c>
      <c r="D16" s="16">
        <v>317.3</v>
      </c>
      <c r="E16" s="16">
        <v>206.3</v>
      </c>
      <c r="F16" s="16">
        <v>25.6</v>
      </c>
      <c r="G16" s="16">
        <v>172</v>
      </c>
      <c r="H16" s="16">
        <v>154</v>
      </c>
      <c r="I16" s="16">
        <v>338</v>
      </c>
      <c r="J16" s="16">
        <v>411</v>
      </c>
      <c r="K16" s="16">
        <v>557</v>
      </c>
      <c r="L16" s="16">
        <v>137</v>
      </c>
      <c r="M16" s="16">
        <v>681</v>
      </c>
      <c r="N16" s="16"/>
    </row>
    <row r="17" spans="1:14" ht="18" customHeight="1" x14ac:dyDescent="0.35">
      <c r="A17" s="10" t="s">
        <v>19</v>
      </c>
      <c r="B17" s="11">
        <v>1265</v>
      </c>
      <c r="C17" s="11">
        <v>2.1</v>
      </c>
      <c r="D17" s="11">
        <v>407.1</v>
      </c>
      <c r="E17" s="11">
        <v>147.19999999999999</v>
      </c>
      <c r="F17" s="11">
        <v>27</v>
      </c>
      <c r="G17" s="11">
        <v>372</v>
      </c>
      <c r="H17" s="11">
        <v>173</v>
      </c>
      <c r="I17" s="11">
        <v>531</v>
      </c>
      <c r="J17" s="11">
        <v>596</v>
      </c>
      <c r="K17" s="11">
        <v>690</v>
      </c>
      <c r="L17" s="11">
        <v>176</v>
      </c>
      <c r="M17" s="11">
        <v>836</v>
      </c>
      <c r="N17" s="11"/>
    </row>
    <row r="18" spans="1:14" ht="18" customHeight="1" x14ac:dyDescent="0.35">
      <c r="A18" s="15" t="s">
        <v>20</v>
      </c>
      <c r="B18" s="16">
        <v>2146</v>
      </c>
      <c r="C18" s="16">
        <v>3.4</v>
      </c>
      <c r="D18" s="16">
        <v>310.3</v>
      </c>
      <c r="E18" s="16">
        <v>147</v>
      </c>
      <c r="F18" s="16">
        <v>29.8</v>
      </c>
      <c r="G18" s="16">
        <v>351</v>
      </c>
      <c r="H18" s="16">
        <v>322</v>
      </c>
      <c r="I18" s="16">
        <v>506</v>
      </c>
      <c r="J18" s="16">
        <v>585</v>
      </c>
      <c r="K18" s="16">
        <v>723</v>
      </c>
      <c r="L18" s="16">
        <v>129</v>
      </c>
      <c r="M18" s="16">
        <v>834</v>
      </c>
      <c r="N18" s="16"/>
    </row>
    <row r="19" spans="1:14" ht="18" customHeight="1" x14ac:dyDescent="0.35">
      <c r="A19" s="10" t="s">
        <v>21</v>
      </c>
      <c r="B19" s="11">
        <v>2173</v>
      </c>
      <c r="C19" s="11">
        <v>2.4</v>
      </c>
      <c r="D19" s="11">
        <v>294.8</v>
      </c>
      <c r="E19" s="11">
        <v>192.3</v>
      </c>
      <c r="F19" s="11">
        <v>24.6</v>
      </c>
      <c r="G19" s="11">
        <v>335</v>
      </c>
      <c r="H19" s="11">
        <v>175</v>
      </c>
      <c r="I19" s="11">
        <v>445</v>
      </c>
      <c r="J19" s="11">
        <v>540</v>
      </c>
      <c r="K19" s="11">
        <v>637</v>
      </c>
      <c r="L19" s="11">
        <v>173</v>
      </c>
      <c r="M19" s="11">
        <v>771</v>
      </c>
      <c r="N19" s="11"/>
    </row>
    <row r="20" spans="1:14" ht="19.5" customHeight="1" x14ac:dyDescent="0.35">
      <c r="A20" s="17" t="s">
        <v>22</v>
      </c>
      <c r="B20" s="18">
        <f>SUM(B16:B19)</f>
        <v>7030</v>
      </c>
      <c r="C20" s="18">
        <f>AVERAGE(C16:C19)</f>
        <v>2.5250000000000004</v>
      </c>
      <c r="D20" s="18">
        <f>SUM(D16:D19)</f>
        <v>1329.5</v>
      </c>
      <c r="E20" s="18">
        <f>SUM(E16:E19)</f>
        <v>692.8</v>
      </c>
      <c r="F20" s="18">
        <f>SUM(F16:F19)</f>
        <v>107</v>
      </c>
      <c r="G20" s="18">
        <f>AVERAGE(G16:G19)</f>
        <v>307.5</v>
      </c>
      <c r="H20" s="18">
        <f>AVERAGE(H16:H19)</f>
        <v>206</v>
      </c>
      <c r="I20" s="18">
        <f>MAX(I16:I19)</f>
        <v>531</v>
      </c>
      <c r="J20" s="18">
        <f>MAX(J16:J19)</f>
        <v>596</v>
      </c>
      <c r="K20" s="18">
        <f>MAX(K16:K19)</f>
        <v>723</v>
      </c>
      <c r="L20" s="18">
        <f>MIN(L16:L19)</f>
        <v>129</v>
      </c>
      <c r="M20" s="18">
        <f>MAX(M16:M19)</f>
        <v>836</v>
      </c>
      <c r="N20" s="18"/>
    </row>
    <row r="21" spans="1:14" ht="7.5" customHeight="1" x14ac:dyDescent="0.35"/>
    <row r="22" spans="1:14" ht="19.5" customHeight="1" x14ac:dyDescent="0.35">
      <c r="A22" s="2" t="s">
        <v>0</v>
      </c>
      <c r="B22" s="2"/>
      <c r="C22" s="2"/>
      <c r="D22" s="5" t="s">
        <v>25</v>
      </c>
      <c r="E22" s="5"/>
      <c r="F22" s="5"/>
      <c r="G22" s="5"/>
      <c r="H22" s="4" t="s">
        <v>26</v>
      </c>
      <c r="I22" s="4"/>
      <c r="J22" s="4"/>
      <c r="K22" s="4"/>
      <c r="L22" s="4"/>
      <c r="M22" s="4"/>
      <c r="N22" s="4"/>
    </row>
    <row r="23" spans="1:14" ht="19.5" customHeight="1" x14ac:dyDescent="0.35">
      <c r="A23" s="2" t="s">
        <v>3</v>
      </c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7.75" customHeight="1" x14ac:dyDescent="0.35">
      <c r="A24" s="14" t="s">
        <v>4</v>
      </c>
      <c r="B24" s="14" t="s">
        <v>5</v>
      </c>
      <c r="C24" s="14" t="s">
        <v>6</v>
      </c>
      <c r="D24" s="14" t="s">
        <v>7</v>
      </c>
      <c r="E24" s="14" t="s">
        <v>8</v>
      </c>
      <c r="F24" s="14" t="s">
        <v>9</v>
      </c>
      <c r="G24" s="14" t="s">
        <v>10</v>
      </c>
      <c r="H24" s="14" t="s">
        <v>11</v>
      </c>
      <c r="I24" s="14" t="s">
        <v>12</v>
      </c>
      <c r="J24" s="14" t="s">
        <v>13</v>
      </c>
      <c r="K24" s="14" t="s">
        <v>14</v>
      </c>
      <c r="L24" s="14" t="s">
        <v>15</v>
      </c>
      <c r="M24" s="14" t="s">
        <v>16</v>
      </c>
      <c r="N24" s="14" t="s">
        <v>17</v>
      </c>
    </row>
    <row r="25" spans="1:14" ht="18" customHeight="1" x14ac:dyDescent="0.35">
      <c r="A25" s="15" t="s">
        <v>18</v>
      </c>
      <c r="B25" s="16">
        <v>1289</v>
      </c>
      <c r="C25" s="16">
        <v>1.2</v>
      </c>
      <c r="D25" s="16">
        <v>424.7</v>
      </c>
      <c r="E25" s="16">
        <v>172.6</v>
      </c>
      <c r="F25" s="16">
        <v>18</v>
      </c>
      <c r="G25" s="16">
        <v>364</v>
      </c>
      <c r="H25" s="16">
        <v>283</v>
      </c>
      <c r="I25" s="16">
        <v>486</v>
      </c>
      <c r="J25" s="16">
        <v>586</v>
      </c>
      <c r="K25" s="16">
        <v>708</v>
      </c>
      <c r="L25" s="16">
        <v>136</v>
      </c>
      <c r="M25" s="16">
        <v>781</v>
      </c>
      <c r="N25" s="16"/>
    </row>
    <row r="26" spans="1:14" ht="18" customHeight="1" x14ac:dyDescent="0.35">
      <c r="A26" s="10" t="s">
        <v>19</v>
      </c>
      <c r="B26" s="11">
        <v>2068</v>
      </c>
      <c r="C26" s="11">
        <v>2.4</v>
      </c>
      <c r="D26" s="11">
        <v>261.7</v>
      </c>
      <c r="E26" s="11">
        <v>182.7</v>
      </c>
      <c r="F26" s="11">
        <v>29.8</v>
      </c>
      <c r="G26" s="11">
        <v>378</v>
      </c>
      <c r="H26" s="11">
        <v>304</v>
      </c>
      <c r="I26" s="11">
        <v>533</v>
      </c>
      <c r="J26" s="11">
        <v>624</v>
      </c>
      <c r="K26" s="11">
        <v>720</v>
      </c>
      <c r="L26" s="11">
        <v>103</v>
      </c>
      <c r="M26" s="11">
        <v>830</v>
      </c>
      <c r="N26" s="11"/>
    </row>
    <row r="27" spans="1:14" ht="18" customHeight="1" x14ac:dyDescent="0.35">
      <c r="A27" s="15" t="s">
        <v>20</v>
      </c>
      <c r="B27" s="16">
        <v>1638</v>
      </c>
      <c r="C27" s="16">
        <v>3.4</v>
      </c>
      <c r="D27" s="16">
        <v>427.5</v>
      </c>
      <c r="E27" s="16">
        <v>143.9</v>
      </c>
      <c r="F27" s="16">
        <v>25</v>
      </c>
      <c r="G27" s="16">
        <v>198</v>
      </c>
      <c r="H27" s="16">
        <v>172</v>
      </c>
      <c r="I27" s="16">
        <v>321</v>
      </c>
      <c r="J27" s="16">
        <v>388</v>
      </c>
      <c r="K27" s="16">
        <v>482</v>
      </c>
      <c r="L27" s="16">
        <v>141</v>
      </c>
      <c r="M27" s="16">
        <v>562</v>
      </c>
      <c r="N27" s="16"/>
    </row>
    <row r="28" spans="1:14" ht="18" customHeight="1" x14ac:dyDescent="0.35">
      <c r="A28" s="10" t="s">
        <v>21</v>
      </c>
      <c r="B28" s="11">
        <v>1863</v>
      </c>
      <c r="C28" s="11">
        <v>1.8</v>
      </c>
      <c r="D28" s="11">
        <v>347.7</v>
      </c>
      <c r="E28" s="11">
        <v>175.2</v>
      </c>
      <c r="F28" s="11">
        <v>16.899999999999999</v>
      </c>
      <c r="G28" s="11">
        <v>165</v>
      </c>
      <c r="H28" s="11">
        <v>154</v>
      </c>
      <c r="I28" s="11">
        <v>307</v>
      </c>
      <c r="J28" s="11">
        <v>376</v>
      </c>
      <c r="K28" s="11">
        <v>502</v>
      </c>
      <c r="L28" s="11">
        <v>147</v>
      </c>
      <c r="M28" s="11">
        <v>646</v>
      </c>
      <c r="N28" s="11"/>
    </row>
    <row r="29" spans="1:14" ht="19.5" customHeight="1" x14ac:dyDescent="0.35">
      <c r="A29" s="17" t="s">
        <v>22</v>
      </c>
      <c r="B29" s="18">
        <f>SUM(B25:B28)</f>
        <v>6858</v>
      </c>
      <c r="C29" s="18">
        <f>AVERAGE(C25:C28)</f>
        <v>2.2000000000000002</v>
      </c>
      <c r="D29" s="18">
        <f>SUM(D25:D28)</f>
        <v>1461.6000000000001</v>
      </c>
      <c r="E29" s="18">
        <f>SUM(E25:E28)</f>
        <v>674.39999999999986</v>
      </c>
      <c r="F29" s="18">
        <f>SUM(F25:F28)</f>
        <v>89.699999999999989</v>
      </c>
      <c r="G29" s="18">
        <f>AVERAGE(G25:G28)</f>
        <v>276.25</v>
      </c>
      <c r="H29" s="18">
        <f>AVERAGE(H25:H28)</f>
        <v>228.25</v>
      </c>
      <c r="I29" s="18">
        <f>MAX(I25:I28)</f>
        <v>533</v>
      </c>
      <c r="J29" s="18">
        <f>MAX(J25:J28)</f>
        <v>624</v>
      </c>
      <c r="K29" s="18">
        <f>MAX(K25:K28)</f>
        <v>720</v>
      </c>
      <c r="L29" s="18">
        <f>MIN(L25:L28)</f>
        <v>103</v>
      </c>
      <c r="M29" s="18">
        <f>MAX(M25:M28)</f>
        <v>830</v>
      </c>
      <c r="N29" s="18"/>
    </row>
    <row r="30" spans="1:14" ht="7.5" customHeight="1" x14ac:dyDescent="0.35"/>
    <row r="31" spans="1:14" ht="19.5" customHeight="1" x14ac:dyDescent="0.35">
      <c r="A31" s="2" t="s">
        <v>0</v>
      </c>
      <c r="B31" s="2"/>
      <c r="C31" s="2"/>
      <c r="D31" s="5" t="s">
        <v>27</v>
      </c>
      <c r="E31" s="5"/>
      <c r="F31" s="5"/>
      <c r="G31" s="5"/>
      <c r="H31" s="4" t="s">
        <v>28</v>
      </c>
      <c r="I31" s="4"/>
      <c r="J31" s="4"/>
      <c r="K31" s="4"/>
      <c r="L31" s="4"/>
      <c r="M31" s="4"/>
      <c r="N31" s="4"/>
    </row>
    <row r="32" spans="1:14" ht="19.5" customHeight="1" x14ac:dyDescent="0.35">
      <c r="A32" s="2" t="s">
        <v>3</v>
      </c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27.75" customHeight="1" x14ac:dyDescent="0.35">
      <c r="A33" s="14" t="s">
        <v>4</v>
      </c>
      <c r="B33" s="14" t="s">
        <v>5</v>
      </c>
      <c r="C33" s="14" t="s">
        <v>6</v>
      </c>
      <c r="D33" s="14" t="s">
        <v>7</v>
      </c>
      <c r="E33" s="14" t="s">
        <v>8</v>
      </c>
      <c r="F33" s="14" t="s">
        <v>9</v>
      </c>
      <c r="G33" s="14" t="s">
        <v>10</v>
      </c>
      <c r="H33" s="14" t="s">
        <v>11</v>
      </c>
      <c r="I33" s="14" t="s">
        <v>12</v>
      </c>
      <c r="J33" s="14" t="s">
        <v>13</v>
      </c>
      <c r="K33" s="14" t="s">
        <v>14</v>
      </c>
      <c r="L33" s="14" t="s">
        <v>15</v>
      </c>
      <c r="M33" s="14" t="s">
        <v>16</v>
      </c>
      <c r="N33" s="14" t="s">
        <v>17</v>
      </c>
    </row>
    <row r="34" spans="1:14" ht="18" customHeight="1" x14ac:dyDescent="0.35">
      <c r="A34" s="15" t="s">
        <v>18</v>
      </c>
      <c r="B34" s="16">
        <v>2162</v>
      </c>
      <c r="C34" s="16">
        <v>3</v>
      </c>
      <c r="D34" s="16">
        <v>331.1</v>
      </c>
      <c r="E34" s="16">
        <v>146.4</v>
      </c>
      <c r="F34" s="16">
        <v>23.2</v>
      </c>
      <c r="G34" s="16">
        <v>199</v>
      </c>
      <c r="H34" s="16">
        <v>170</v>
      </c>
      <c r="I34" s="16">
        <v>380</v>
      </c>
      <c r="J34" s="16">
        <v>454</v>
      </c>
      <c r="K34" s="16">
        <v>566</v>
      </c>
      <c r="L34" s="16">
        <v>180</v>
      </c>
      <c r="M34" s="16">
        <v>701</v>
      </c>
      <c r="N34" s="16"/>
    </row>
    <row r="35" spans="1:14" ht="18" customHeight="1" x14ac:dyDescent="0.35">
      <c r="A35" s="10" t="s">
        <v>19</v>
      </c>
      <c r="B35" s="11">
        <v>1789</v>
      </c>
      <c r="C35" s="11">
        <v>2.6</v>
      </c>
      <c r="D35" s="11">
        <v>361</v>
      </c>
      <c r="E35" s="11">
        <v>116.6</v>
      </c>
      <c r="F35" s="11">
        <v>16.899999999999999</v>
      </c>
      <c r="G35" s="11">
        <v>234</v>
      </c>
      <c r="H35" s="11">
        <v>197</v>
      </c>
      <c r="I35" s="11">
        <v>349</v>
      </c>
      <c r="J35" s="11">
        <v>447</v>
      </c>
      <c r="K35" s="11">
        <v>583</v>
      </c>
      <c r="L35" s="11">
        <v>121</v>
      </c>
      <c r="M35" s="11">
        <v>684</v>
      </c>
      <c r="N35" s="11"/>
    </row>
    <row r="36" spans="1:14" ht="18" customHeight="1" x14ac:dyDescent="0.35">
      <c r="A36" s="15" t="s">
        <v>20</v>
      </c>
      <c r="B36" s="16">
        <v>1732</v>
      </c>
      <c r="C36" s="16">
        <v>3.3</v>
      </c>
      <c r="D36" s="16">
        <v>418.1</v>
      </c>
      <c r="E36" s="16">
        <v>142.5</v>
      </c>
      <c r="F36" s="16">
        <v>20.399999999999999</v>
      </c>
      <c r="G36" s="16">
        <v>249</v>
      </c>
      <c r="H36" s="16">
        <v>202</v>
      </c>
      <c r="I36" s="16">
        <v>435</v>
      </c>
      <c r="J36" s="16">
        <v>494</v>
      </c>
      <c r="K36" s="16">
        <v>606</v>
      </c>
      <c r="L36" s="16">
        <v>125</v>
      </c>
      <c r="M36" s="16">
        <v>728</v>
      </c>
      <c r="N36" s="16"/>
    </row>
    <row r="37" spans="1:14" ht="18" customHeight="1" x14ac:dyDescent="0.35">
      <c r="A37" s="10" t="s">
        <v>21</v>
      </c>
      <c r="B37" s="11">
        <v>2058</v>
      </c>
      <c r="C37" s="11">
        <v>0.5</v>
      </c>
      <c r="D37" s="11">
        <v>362.6</v>
      </c>
      <c r="E37" s="11">
        <v>116.6</v>
      </c>
      <c r="F37" s="11">
        <v>24.8</v>
      </c>
      <c r="G37" s="11">
        <v>228</v>
      </c>
      <c r="H37" s="11">
        <v>207</v>
      </c>
      <c r="I37" s="11">
        <v>425</v>
      </c>
      <c r="J37" s="11">
        <v>497</v>
      </c>
      <c r="K37" s="11">
        <v>625</v>
      </c>
      <c r="L37" s="11">
        <v>140</v>
      </c>
      <c r="M37" s="11">
        <v>769</v>
      </c>
      <c r="N37" s="11"/>
    </row>
    <row r="38" spans="1:14" ht="19.5" customHeight="1" x14ac:dyDescent="0.35">
      <c r="A38" s="17" t="s">
        <v>22</v>
      </c>
      <c r="B38" s="18">
        <f>SUM(B34:B37)</f>
        <v>7741</v>
      </c>
      <c r="C38" s="18">
        <f>AVERAGE(C34:C37)</f>
        <v>2.3499999999999996</v>
      </c>
      <c r="D38" s="18">
        <f>SUM(D34:D37)</f>
        <v>1472.8000000000002</v>
      </c>
      <c r="E38" s="18">
        <f>SUM(E34:E37)</f>
        <v>522.1</v>
      </c>
      <c r="F38" s="18">
        <f>SUM(F34:F37)</f>
        <v>85.3</v>
      </c>
      <c r="G38" s="18">
        <f>AVERAGE(G34:G37)</f>
        <v>227.5</v>
      </c>
      <c r="H38" s="18">
        <f>AVERAGE(H34:H37)</f>
        <v>194</v>
      </c>
      <c r="I38" s="18">
        <f>MAX(I34:I37)</f>
        <v>435</v>
      </c>
      <c r="J38" s="18">
        <f>MAX(J34:J37)</f>
        <v>497</v>
      </c>
      <c r="K38" s="18">
        <f>MAX(K34:K37)</f>
        <v>625</v>
      </c>
      <c r="L38" s="18">
        <f>MIN(L34:L37)</f>
        <v>121</v>
      </c>
      <c r="M38" s="18">
        <f>MAX(M34:M37)</f>
        <v>769</v>
      </c>
      <c r="N38" s="18"/>
    </row>
    <row r="39" spans="1:14" ht="7.5" customHeight="1" x14ac:dyDescent="0.35"/>
    <row r="40" spans="1:14" ht="19.5" customHeight="1" x14ac:dyDescent="0.35">
      <c r="A40" s="2" t="s">
        <v>0</v>
      </c>
      <c r="B40" s="2"/>
      <c r="C40" s="2"/>
      <c r="D40" s="5" t="s">
        <v>29</v>
      </c>
      <c r="E40" s="5"/>
      <c r="F40" s="5"/>
      <c r="G40" s="5"/>
      <c r="H40" s="4" t="s">
        <v>30</v>
      </c>
      <c r="I40" s="4"/>
      <c r="J40" s="4"/>
      <c r="K40" s="4"/>
      <c r="L40" s="4"/>
      <c r="M40" s="4"/>
      <c r="N40" s="4"/>
    </row>
    <row r="41" spans="1:14" ht="19.5" customHeight="1" x14ac:dyDescent="0.35">
      <c r="A41" s="2" t="s">
        <v>3</v>
      </c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27.75" customHeight="1" x14ac:dyDescent="0.35">
      <c r="A42" s="14" t="s">
        <v>4</v>
      </c>
      <c r="B42" s="14" t="s">
        <v>5</v>
      </c>
      <c r="C42" s="14" t="s">
        <v>6</v>
      </c>
      <c r="D42" s="14" t="s">
        <v>7</v>
      </c>
      <c r="E42" s="14" t="s">
        <v>8</v>
      </c>
      <c r="F42" s="14" t="s">
        <v>9</v>
      </c>
      <c r="G42" s="14" t="s">
        <v>10</v>
      </c>
      <c r="H42" s="14" t="s">
        <v>11</v>
      </c>
      <c r="I42" s="14" t="s">
        <v>12</v>
      </c>
      <c r="J42" s="14" t="s">
        <v>13</v>
      </c>
      <c r="K42" s="14" t="s">
        <v>14</v>
      </c>
      <c r="L42" s="14" t="s">
        <v>15</v>
      </c>
      <c r="M42" s="14" t="s">
        <v>16</v>
      </c>
      <c r="N42" s="14" t="s">
        <v>17</v>
      </c>
    </row>
    <row r="43" spans="1:14" ht="18" customHeight="1" x14ac:dyDescent="0.35">
      <c r="A43" s="15" t="s">
        <v>18</v>
      </c>
      <c r="B43" s="16">
        <v>1885</v>
      </c>
      <c r="C43" s="16">
        <v>1.6</v>
      </c>
      <c r="D43" s="16">
        <v>378.7</v>
      </c>
      <c r="E43" s="16">
        <v>137.6</v>
      </c>
      <c r="F43" s="16">
        <v>20</v>
      </c>
      <c r="G43" s="16">
        <v>340</v>
      </c>
      <c r="H43" s="16">
        <v>180</v>
      </c>
      <c r="I43" s="16">
        <v>497</v>
      </c>
      <c r="J43" s="16">
        <v>555</v>
      </c>
      <c r="K43" s="16">
        <v>636</v>
      </c>
      <c r="L43" s="16">
        <v>175</v>
      </c>
      <c r="M43" s="16">
        <v>705</v>
      </c>
      <c r="N43" s="16"/>
    </row>
    <row r="44" spans="1:14" ht="18" customHeight="1" x14ac:dyDescent="0.35">
      <c r="A44" s="10" t="s">
        <v>19</v>
      </c>
      <c r="B44" s="11">
        <v>1582</v>
      </c>
      <c r="C44" s="11">
        <v>2.4</v>
      </c>
      <c r="D44" s="11">
        <v>322.2</v>
      </c>
      <c r="E44" s="11">
        <v>193.9</v>
      </c>
      <c r="F44" s="11">
        <v>19.600000000000001</v>
      </c>
      <c r="G44" s="11">
        <v>374</v>
      </c>
      <c r="H44" s="11">
        <v>366</v>
      </c>
      <c r="I44" s="11">
        <v>509</v>
      </c>
      <c r="J44" s="11">
        <v>602</v>
      </c>
      <c r="K44" s="11">
        <v>714</v>
      </c>
      <c r="L44" s="11">
        <v>135</v>
      </c>
      <c r="M44" s="11">
        <v>768</v>
      </c>
      <c r="N44" s="11"/>
    </row>
    <row r="45" spans="1:14" ht="18" customHeight="1" x14ac:dyDescent="0.35">
      <c r="A45" s="15" t="s">
        <v>20</v>
      </c>
      <c r="B45" s="16">
        <v>1397</v>
      </c>
      <c r="C45" s="16">
        <v>1.3</v>
      </c>
      <c r="D45" s="16">
        <v>300.5</v>
      </c>
      <c r="E45" s="16">
        <v>162.30000000000001</v>
      </c>
      <c r="F45" s="16">
        <v>31.6</v>
      </c>
      <c r="G45" s="16">
        <v>235</v>
      </c>
      <c r="H45" s="16">
        <v>183</v>
      </c>
      <c r="I45" s="16">
        <v>427</v>
      </c>
      <c r="J45" s="16">
        <v>515</v>
      </c>
      <c r="K45" s="16">
        <v>640</v>
      </c>
      <c r="L45" s="16">
        <v>185</v>
      </c>
      <c r="M45" s="16">
        <v>733</v>
      </c>
      <c r="N45" s="16"/>
    </row>
    <row r="46" spans="1:14" ht="18" customHeight="1" x14ac:dyDescent="0.35">
      <c r="A46" s="10" t="s">
        <v>21</v>
      </c>
      <c r="B46" s="11">
        <v>1278</v>
      </c>
      <c r="C46" s="11">
        <v>1.2</v>
      </c>
      <c r="D46" s="11">
        <v>418.8</v>
      </c>
      <c r="E46" s="11">
        <v>206.7</v>
      </c>
      <c r="F46" s="11">
        <v>18.8</v>
      </c>
      <c r="G46" s="11">
        <v>343</v>
      </c>
      <c r="H46" s="11">
        <v>196</v>
      </c>
      <c r="I46" s="11">
        <v>534</v>
      </c>
      <c r="J46" s="11">
        <v>624</v>
      </c>
      <c r="K46" s="11">
        <v>753</v>
      </c>
      <c r="L46" s="11">
        <v>172</v>
      </c>
      <c r="M46" s="11">
        <v>818</v>
      </c>
      <c r="N46" s="11"/>
    </row>
    <row r="47" spans="1:14" ht="19.5" customHeight="1" x14ac:dyDescent="0.35">
      <c r="A47" s="17" t="s">
        <v>22</v>
      </c>
      <c r="B47" s="18">
        <f>SUM(B43:B46)</f>
        <v>6142</v>
      </c>
      <c r="C47" s="18">
        <f>AVERAGE(C43:C46)</f>
        <v>1.625</v>
      </c>
      <c r="D47" s="18">
        <f>SUM(D43:D46)</f>
        <v>1420.2</v>
      </c>
      <c r="E47" s="18">
        <f>SUM(E43:E46)</f>
        <v>700.5</v>
      </c>
      <c r="F47" s="18">
        <f>SUM(F43:F46)</f>
        <v>90</v>
      </c>
      <c r="G47" s="18">
        <f>AVERAGE(G43:G46)</f>
        <v>323</v>
      </c>
      <c r="H47" s="18">
        <f>AVERAGE(H43:H46)</f>
        <v>231.25</v>
      </c>
      <c r="I47" s="18">
        <f>MAX(I43:I46)</f>
        <v>534</v>
      </c>
      <c r="J47" s="18">
        <f>MAX(J43:J46)</f>
        <v>624</v>
      </c>
      <c r="K47" s="18">
        <f>MAX(K43:K46)</f>
        <v>753</v>
      </c>
      <c r="L47" s="18">
        <f>MIN(L43:L46)</f>
        <v>135</v>
      </c>
      <c r="M47" s="18">
        <f>MAX(M43:M46)</f>
        <v>818</v>
      </c>
      <c r="N47" s="18"/>
    </row>
    <row r="48" spans="1:14" ht="7.5" customHeight="1" x14ac:dyDescent="0.35"/>
    <row r="49" spans="1:14" ht="19.5" customHeight="1" x14ac:dyDescent="0.35">
      <c r="A49" s="2" t="s">
        <v>0</v>
      </c>
      <c r="B49" s="2"/>
      <c r="C49" s="2"/>
      <c r="D49" s="5" t="s">
        <v>31</v>
      </c>
      <c r="E49" s="5"/>
      <c r="F49" s="5"/>
      <c r="G49" s="5"/>
      <c r="H49" s="4" t="s">
        <v>32</v>
      </c>
      <c r="I49" s="4"/>
      <c r="J49" s="4"/>
      <c r="K49" s="4"/>
      <c r="L49" s="4"/>
      <c r="M49" s="4"/>
      <c r="N49" s="4"/>
    </row>
    <row r="50" spans="1:14" ht="19.5" customHeight="1" x14ac:dyDescent="0.35">
      <c r="A50" s="2" t="s">
        <v>3</v>
      </c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27.75" customHeight="1" x14ac:dyDescent="0.35">
      <c r="A51" s="14" t="s">
        <v>4</v>
      </c>
      <c r="B51" s="14" t="s">
        <v>5</v>
      </c>
      <c r="C51" s="14" t="s">
        <v>6</v>
      </c>
      <c r="D51" s="14" t="s">
        <v>7</v>
      </c>
      <c r="E51" s="14" t="s">
        <v>8</v>
      </c>
      <c r="F51" s="14" t="s">
        <v>9</v>
      </c>
      <c r="G51" s="14" t="s">
        <v>10</v>
      </c>
      <c r="H51" s="14" t="s">
        <v>11</v>
      </c>
      <c r="I51" s="14" t="s">
        <v>12</v>
      </c>
      <c r="J51" s="14" t="s">
        <v>13</v>
      </c>
      <c r="K51" s="14" t="s">
        <v>14</v>
      </c>
      <c r="L51" s="14" t="s">
        <v>15</v>
      </c>
      <c r="M51" s="14" t="s">
        <v>16</v>
      </c>
      <c r="N51" s="14" t="s">
        <v>17</v>
      </c>
    </row>
    <row r="52" spans="1:14" ht="18" customHeight="1" x14ac:dyDescent="0.35">
      <c r="A52" s="15" t="s">
        <v>18</v>
      </c>
      <c r="B52" s="16">
        <v>1796</v>
      </c>
      <c r="C52" s="16">
        <v>2.6</v>
      </c>
      <c r="D52" s="16">
        <v>378</v>
      </c>
      <c r="E52" s="16">
        <v>126.5</v>
      </c>
      <c r="F52" s="16">
        <v>19.899999999999999</v>
      </c>
      <c r="G52" s="16">
        <v>251</v>
      </c>
      <c r="H52" s="16">
        <v>251</v>
      </c>
      <c r="I52" s="16">
        <v>384</v>
      </c>
      <c r="J52" s="16">
        <v>426</v>
      </c>
      <c r="K52" s="16">
        <v>518</v>
      </c>
      <c r="L52" s="16">
        <v>137</v>
      </c>
      <c r="M52" s="16">
        <v>589</v>
      </c>
      <c r="N52" s="16"/>
    </row>
    <row r="53" spans="1:14" ht="18" customHeight="1" x14ac:dyDescent="0.35">
      <c r="A53" s="10" t="s">
        <v>19</v>
      </c>
      <c r="B53" s="11">
        <v>1786</v>
      </c>
      <c r="C53" s="11">
        <v>2.2000000000000002</v>
      </c>
      <c r="D53" s="11">
        <v>423.7</v>
      </c>
      <c r="E53" s="11">
        <v>163.69999999999999</v>
      </c>
      <c r="F53" s="11">
        <v>15.7</v>
      </c>
      <c r="G53" s="11">
        <v>223</v>
      </c>
      <c r="H53" s="11">
        <v>162</v>
      </c>
      <c r="I53" s="11">
        <v>411</v>
      </c>
      <c r="J53" s="11">
        <v>471</v>
      </c>
      <c r="K53" s="11">
        <v>617</v>
      </c>
      <c r="L53" s="11">
        <v>142</v>
      </c>
      <c r="M53" s="11">
        <v>678</v>
      </c>
      <c r="N53" s="11"/>
    </row>
    <row r="54" spans="1:14" ht="18" customHeight="1" x14ac:dyDescent="0.35">
      <c r="A54" s="15" t="s">
        <v>20</v>
      </c>
      <c r="B54" s="16">
        <v>2127</v>
      </c>
      <c r="C54" s="16">
        <v>0.7</v>
      </c>
      <c r="D54" s="16">
        <v>405.9</v>
      </c>
      <c r="E54" s="16">
        <v>174.1</v>
      </c>
      <c r="F54" s="16">
        <v>28.1</v>
      </c>
      <c r="G54" s="16">
        <v>228</v>
      </c>
      <c r="H54" s="16">
        <v>167</v>
      </c>
      <c r="I54" s="16">
        <v>419</v>
      </c>
      <c r="J54" s="16">
        <v>519</v>
      </c>
      <c r="K54" s="16">
        <v>599</v>
      </c>
      <c r="L54" s="16">
        <v>156</v>
      </c>
      <c r="M54" s="16">
        <v>697</v>
      </c>
      <c r="N54" s="16"/>
    </row>
    <row r="55" spans="1:14" ht="18" customHeight="1" x14ac:dyDescent="0.35">
      <c r="A55" s="10" t="s">
        <v>21</v>
      </c>
      <c r="B55" s="11">
        <v>2016</v>
      </c>
      <c r="C55" s="11">
        <v>2.9</v>
      </c>
      <c r="D55" s="11">
        <v>393.7</v>
      </c>
      <c r="E55" s="11">
        <v>142.5</v>
      </c>
      <c r="F55" s="11">
        <v>21.8</v>
      </c>
      <c r="G55" s="11">
        <v>188</v>
      </c>
      <c r="H55" s="11">
        <v>168</v>
      </c>
      <c r="I55" s="11">
        <v>372</v>
      </c>
      <c r="J55" s="11">
        <v>429</v>
      </c>
      <c r="K55" s="11">
        <v>553</v>
      </c>
      <c r="L55" s="11">
        <v>103</v>
      </c>
      <c r="M55" s="11">
        <v>605</v>
      </c>
      <c r="N55" s="11"/>
    </row>
    <row r="56" spans="1:14" ht="19.5" customHeight="1" x14ac:dyDescent="0.35">
      <c r="A56" s="17" t="s">
        <v>22</v>
      </c>
      <c r="B56" s="18">
        <f>SUM(B52:B55)</f>
        <v>7725</v>
      </c>
      <c r="C56" s="18">
        <f>AVERAGE(C52:C55)</f>
        <v>2.1</v>
      </c>
      <c r="D56" s="18">
        <f>SUM(D52:D55)</f>
        <v>1601.3</v>
      </c>
      <c r="E56" s="18">
        <f>SUM(E52:E55)</f>
        <v>606.79999999999995</v>
      </c>
      <c r="F56" s="18">
        <f>SUM(F52:F55)</f>
        <v>85.5</v>
      </c>
      <c r="G56" s="18">
        <f>AVERAGE(G52:G55)</f>
        <v>222.5</v>
      </c>
      <c r="H56" s="18">
        <f>AVERAGE(H52:H55)</f>
        <v>187</v>
      </c>
      <c r="I56" s="18">
        <f>MAX(I52:I55)</f>
        <v>419</v>
      </c>
      <c r="J56" s="18">
        <f>MAX(J52:J55)</f>
        <v>519</v>
      </c>
      <c r="K56" s="18">
        <f>MAX(K52:K55)</f>
        <v>617</v>
      </c>
      <c r="L56" s="18">
        <f>MIN(L52:L55)</f>
        <v>103</v>
      </c>
      <c r="M56" s="18">
        <f>MAX(M52:M55)</f>
        <v>697</v>
      </c>
      <c r="N56" s="18"/>
    </row>
    <row r="57" spans="1:14" ht="7.5" customHeight="1" x14ac:dyDescent="0.35"/>
    <row r="58" spans="1:14" ht="19.5" customHeight="1" x14ac:dyDescent="0.35">
      <c r="A58" s="2" t="s">
        <v>0</v>
      </c>
      <c r="B58" s="2"/>
      <c r="C58" s="2"/>
      <c r="D58" s="5" t="s">
        <v>33</v>
      </c>
      <c r="E58" s="5"/>
      <c r="F58" s="5"/>
      <c r="G58" s="5"/>
      <c r="H58" s="4" t="s">
        <v>34</v>
      </c>
      <c r="I58" s="4"/>
      <c r="J58" s="4"/>
      <c r="K58" s="4"/>
      <c r="L58" s="4"/>
      <c r="M58" s="4"/>
      <c r="N58" s="4"/>
    </row>
    <row r="59" spans="1:14" ht="19.5" customHeight="1" x14ac:dyDescent="0.35">
      <c r="A59" s="2" t="s">
        <v>3</v>
      </c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27.75" customHeight="1" x14ac:dyDescent="0.35">
      <c r="A60" s="14" t="s">
        <v>4</v>
      </c>
      <c r="B60" s="14" t="s">
        <v>5</v>
      </c>
      <c r="C60" s="14" t="s">
        <v>6</v>
      </c>
      <c r="D60" s="14" t="s">
        <v>7</v>
      </c>
      <c r="E60" s="14" t="s">
        <v>8</v>
      </c>
      <c r="F60" s="14" t="s">
        <v>9</v>
      </c>
      <c r="G60" s="14" t="s">
        <v>10</v>
      </c>
      <c r="H60" s="14" t="s">
        <v>11</v>
      </c>
      <c r="I60" s="14" t="s">
        <v>12</v>
      </c>
      <c r="J60" s="14" t="s">
        <v>13</v>
      </c>
      <c r="K60" s="14" t="s">
        <v>14</v>
      </c>
      <c r="L60" s="14" t="s">
        <v>15</v>
      </c>
      <c r="M60" s="14" t="s">
        <v>16</v>
      </c>
      <c r="N60" s="14" t="s">
        <v>17</v>
      </c>
    </row>
    <row r="61" spans="1:14" ht="18" customHeight="1" x14ac:dyDescent="0.35">
      <c r="A61" s="15" t="s">
        <v>18</v>
      </c>
      <c r="B61" s="16">
        <v>1272</v>
      </c>
      <c r="C61" s="16">
        <v>0.8</v>
      </c>
      <c r="D61" s="16">
        <v>325.39999999999998</v>
      </c>
      <c r="E61" s="16">
        <v>123.5</v>
      </c>
      <c r="F61" s="16">
        <v>15.4</v>
      </c>
      <c r="G61" s="16">
        <v>205</v>
      </c>
      <c r="H61" s="16">
        <v>186</v>
      </c>
      <c r="I61" s="16">
        <v>310</v>
      </c>
      <c r="J61" s="16">
        <v>375</v>
      </c>
      <c r="K61" s="16">
        <v>461</v>
      </c>
      <c r="L61" s="16">
        <v>107</v>
      </c>
      <c r="M61" s="16">
        <v>549</v>
      </c>
      <c r="N61" s="16"/>
    </row>
    <row r="62" spans="1:14" ht="18" customHeight="1" x14ac:dyDescent="0.35">
      <c r="A62" s="10" t="s">
        <v>19</v>
      </c>
      <c r="B62" s="11">
        <v>2024</v>
      </c>
      <c r="C62" s="11">
        <v>0.8</v>
      </c>
      <c r="D62" s="11">
        <v>348.6</v>
      </c>
      <c r="E62" s="11">
        <v>116.4</v>
      </c>
      <c r="F62" s="11">
        <v>16.5</v>
      </c>
      <c r="G62" s="11">
        <v>168</v>
      </c>
      <c r="H62" s="11">
        <v>162</v>
      </c>
      <c r="I62" s="11">
        <v>311</v>
      </c>
      <c r="J62" s="11">
        <v>381</v>
      </c>
      <c r="K62" s="11">
        <v>519</v>
      </c>
      <c r="L62" s="11">
        <v>133</v>
      </c>
      <c r="M62" s="11">
        <v>621</v>
      </c>
      <c r="N62" s="11"/>
    </row>
    <row r="63" spans="1:14" ht="18" customHeight="1" x14ac:dyDescent="0.35">
      <c r="A63" s="15" t="s">
        <v>20</v>
      </c>
      <c r="B63" s="16">
        <v>1459</v>
      </c>
      <c r="C63" s="16">
        <v>2.4</v>
      </c>
      <c r="D63" s="16">
        <v>279.3</v>
      </c>
      <c r="E63" s="16">
        <v>138.4</v>
      </c>
      <c r="F63" s="16">
        <v>21.1</v>
      </c>
      <c r="G63" s="16">
        <v>280</v>
      </c>
      <c r="H63" s="16">
        <v>199</v>
      </c>
      <c r="I63" s="16">
        <v>427</v>
      </c>
      <c r="J63" s="16">
        <v>479</v>
      </c>
      <c r="K63" s="16">
        <v>577</v>
      </c>
      <c r="L63" s="16">
        <v>146</v>
      </c>
      <c r="M63" s="16">
        <v>719</v>
      </c>
      <c r="N63" s="16"/>
    </row>
    <row r="64" spans="1:14" ht="18" customHeight="1" x14ac:dyDescent="0.35">
      <c r="A64" s="10" t="s">
        <v>21</v>
      </c>
      <c r="B64" s="11">
        <v>1731</v>
      </c>
      <c r="C64" s="11">
        <v>1.3</v>
      </c>
      <c r="D64" s="11">
        <v>250.1</v>
      </c>
      <c r="E64" s="11">
        <v>122.8</v>
      </c>
      <c r="F64" s="11">
        <v>27.2</v>
      </c>
      <c r="G64" s="11">
        <v>167</v>
      </c>
      <c r="H64" s="11">
        <v>163</v>
      </c>
      <c r="I64" s="11">
        <v>304</v>
      </c>
      <c r="J64" s="11">
        <v>354</v>
      </c>
      <c r="K64" s="11">
        <v>454</v>
      </c>
      <c r="L64" s="11">
        <v>128</v>
      </c>
      <c r="M64" s="11">
        <v>517</v>
      </c>
      <c r="N64" s="11"/>
    </row>
    <row r="65" spans="1:14" ht="19.5" customHeight="1" x14ac:dyDescent="0.35">
      <c r="A65" s="17" t="s">
        <v>22</v>
      </c>
      <c r="B65" s="18">
        <f>SUM(B61:B64)</f>
        <v>6486</v>
      </c>
      <c r="C65" s="18">
        <f>AVERAGE(C61:C64)</f>
        <v>1.325</v>
      </c>
      <c r="D65" s="18">
        <f>SUM(D61:D64)</f>
        <v>1203.3999999999999</v>
      </c>
      <c r="E65" s="18">
        <f>SUM(E61:E64)</f>
        <v>501.1</v>
      </c>
      <c r="F65" s="18">
        <f>SUM(F61:F64)</f>
        <v>80.2</v>
      </c>
      <c r="G65" s="18">
        <f>AVERAGE(G61:G64)</f>
        <v>205</v>
      </c>
      <c r="H65" s="18">
        <f>AVERAGE(H61:H64)</f>
        <v>177.5</v>
      </c>
      <c r="I65" s="18">
        <f>MAX(I61:I64)</f>
        <v>427</v>
      </c>
      <c r="J65" s="18">
        <f>MAX(J61:J64)</f>
        <v>479</v>
      </c>
      <c r="K65" s="18">
        <f>MAX(K61:K64)</f>
        <v>577</v>
      </c>
      <c r="L65" s="18">
        <f>MIN(L61:L64)</f>
        <v>107</v>
      </c>
      <c r="M65" s="18">
        <f>MAX(M61:M64)</f>
        <v>719</v>
      </c>
      <c r="N65" s="18"/>
    </row>
    <row r="66" spans="1:14" ht="7.5" customHeight="1" x14ac:dyDescent="0.35"/>
    <row r="67" spans="1:14" ht="19.5" customHeight="1" x14ac:dyDescent="0.35">
      <c r="A67" s="2" t="s">
        <v>0</v>
      </c>
      <c r="B67" s="2"/>
      <c r="C67" s="2"/>
      <c r="D67" s="5" t="s">
        <v>35</v>
      </c>
      <c r="E67" s="5"/>
      <c r="F67" s="5"/>
      <c r="G67" s="5"/>
      <c r="H67" s="4" t="s">
        <v>36</v>
      </c>
      <c r="I67" s="4"/>
      <c r="J67" s="4"/>
      <c r="K67" s="4"/>
      <c r="L67" s="4"/>
      <c r="M67" s="4"/>
      <c r="N67" s="4"/>
    </row>
    <row r="68" spans="1:14" ht="19.5" customHeight="1" x14ac:dyDescent="0.35">
      <c r="A68" s="2" t="s">
        <v>3</v>
      </c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27.75" customHeight="1" x14ac:dyDescent="0.35">
      <c r="A69" s="14" t="s">
        <v>4</v>
      </c>
      <c r="B69" s="14" t="s">
        <v>5</v>
      </c>
      <c r="C69" s="14" t="s">
        <v>6</v>
      </c>
      <c r="D69" s="14" t="s">
        <v>7</v>
      </c>
      <c r="E69" s="14" t="s">
        <v>8</v>
      </c>
      <c r="F69" s="14" t="s">
        <v>9</v>
      </c>
      <c r="G69" s="14" t="s">
        <v>10</v>
      </c>
      <c r="H69" s="14" t="s">
        <v>11</v>
      </c>
      <c r="I69" s="14" t="s">
        <v>12</v>
      </c>
      <c r="J69" s="14" t="s">
        <v>13</v>
      </c>
      <c r="K69" s="14" t="s">
        <v>14</v>
      </c>
      <c r="L69" s="14" t="s">
        <v>15</v>
      </c>
      <c r="M69" s="14" t="s">
        <v>16</v>
      </c>
      <c r="N69" s="14" t="s">
        <v>17</v>
      </c>
    </row>
    <row r="70" spans="1:14" ht="18" customHeight="1" x14ac:dyDescent="0.35">
      <c r="A70" s="15" t="s">
        <v>18</v>
      </c>
      <c r="B70" s="16">
        <v>1699</v>
      </c>
      <c r="C70" s="16">
        <v>1.8</v>
      </c>
      <c r="D70" s="16">
        <v>398.1</v>
      </c>
      <c r="E70" s="16">
        <v>186.8</v>
      </c>
      <c r="F70" s="16">
        <v>17.600000000000001</v>
      </c>
      <c r="G70" s="16">
        <v>200</v>
      </c>
      <c r="H70" s="16">
        <v>158</v>
      </c>
      <c r="I70" s="16">
        <v>395</v>
      </c>
      <c r="J70" s="16">
        <v>470</v>
      </c>
      <c r="K70" s="16">
        <v>607</v>
      </c>
      <c r="L70" s="16">
        <v>148</v>
      </c>
      <c r="M70" s="16">
        <v>699</v>
      </c>
      <c r="N70" s="16"/>
    </row>
    <row r="71" spans="1:14" ht="18" customHeight="1" x14ac:dyDescent="0.35">
      <c r="A71" s="10" t="s">
        <v>19</v>
      </c>
      <c r="B71" s="11">
        <v>2150</v>
      </c>
      <c r="C71" s="11">
        <v>1</v>
      </c>
      <c r="D71" s="11">
        <v>281.10000000000002</v>
      </c>
      <c r="E71" s="11">
        <v>111.4</v>
      </c>
      <c r="F71" s="11">
        <v>31</v>
      </c>
      <c r="G71" s="11">
        <v>297</v>
      </c>
      <c r="H71" s="11">
        <v>250</v>
      </c>
      <c r="I71" s="11">
        <v>445</v>
      </c>
      <c r="J71" s="11">
        <v>533</v>
      </c>
      <c r="K71" s="11">
        <v>613</v>
      </c>
      <c r="L71" s="11">
        <v>173</v>
      </c>
      <c r="M71" s="11">
        <v>747</v>
      </c>
      <c r="N71" s="11"/>
    </row>
    <row r="72" spans="1:14" ht="18" customHeight="1" x14ac:dyDescent="0.35">
      <c r="A72" s="15" t="s">
        <v>20</v>
      </c>
      <c r="B72" s="16">
        <v>1558</v>
      </c>
      <c r="C72" s="16">
        <v>0.8</v>
      </c>
      <c r="D72" s="16">
        <v>407.7</v>
      </c>
      <c r="E72" s="16">
        <v>115.1</v>
      </c>
      <c r="F72" s="16">
        <v>29.4</v>
      </c>
      <c r="G72" s="16">
        <v>197</v>
      </c>
      <c r="H72" s="16">
        <v>182</v>
      </c>
      <c r="I72" s="16">
        <v>355</v>
      </c>
      <c r="J72" s="16">
        <v>452</v>
      </c>
      <c r="K72" s="16">
        <v>553</v>
      </c>
      <c r="L72" s="16">
        <v>132</v>
      </c>
      <c r="M72" s="16">
        <v>606</v>
      </c>
      <c r="N72" s="16"/>
    </row>
    <row r="73" spans="1:14" ht="18" customHeight="1" x14ac:dyDescent="0.35">
      <c r="A73" s="10" t="s">
        <v>21</v>
      </c>
      <c r="B73" s="11">
        <v>1242</v>
      </c>
      <c r="C73" s="11">
        <v>1.2</v>
      </c>
      <c r="D73" s="11">
        <v>264</v>
      </c>
      <c r="E73" s="11">
        <v>189.6</v>
      </c>
      <c r="F73" s="11">
        <v>22.7</v>
      </c>
      <c r="G73" s="11">
        <v>233</v>
      </c>
      <c r="H73" s="11">
        <v>166</v>
      </c>
      <c r="I73" s="11">
        <v>378</v>
      </c>
      <c r="J73" s="11">
        <v>470</v>
      </c>
      <c r="K73" s="11">
        <v>605</v>
      </c>
      <c r="L73" s="11">
        <v>179</v>
      </c>
      <c r="M73" s="11">
        <v>667</v>
      </c>
      <c r="N73" s="11"/>
    </row>
    <row r="74" spans="1:14" ht="19.5" customHeight="1" x14ac:dyDescent="0.35">
      <c r="A74" s="17" t="s">
        <v>22</v>
      </c>
      <c r="B74" s="18">
        <f>SUM(B70:B73)</f>
        <v>6649</v>
      </c>
      <c r="C74" s="18">
        <f>AVERAGE(C70:C73)</f>
        <v>1.2</v>
      </c>
      <c r="D74" s="18">
        <f>SUM(D70:D73)</f>
        <v>1350.9</v>
      </c>
      <c r="E74" s="18">
        <f>SUM(E70:E73)</f>
        <v>602.90000000000009</v>
      </c>
      <c r="F74" s="18">
        <f>SUM(F70:F73)</f>
        <v>100.7</v>
      </c>
      <c r="G74" s="18">
        <f>AVERAGE(G70:G73)</f>
        <v>231.75</v>
      </c>
      <c r="H74" s="18">
        <f>AVERAGE(H70:H73)</f>
        <v>189</v>
      </c>
      <c r="I74" s="18">
        <f>MAX(I70:I73)</f>
        <v>445</v>
      </c>
      <c r="J74" s="18">
        <f>MAX(J70:J73)</f>
        <v>533</v>
      </c>
      <c r="K74" s="18">
        <f>MAX(K70:K73)</f>
        <v>613</v>
      </c>
      <c r="L74" s="18">
        <f>MIN(L70:L73)</f>
        <v>132</v>
      </c>
      <c r="M74" s="18">
        <f>MAX(M70:M73)</f>
        <v>747</v>
      </c>
      <c r="N74" s="18"/>
    </row>
    <row r="75" spans="1:14" ht="7.5" customHeight="1" x14ac:dyDescent="0.35"/>
    <row r="76" spans="1:14" ht="19.5" customHeight="1" x14ac:dyDescent="0.35">
      <c r="A76" s="2" t="s">
        <v>0</v>
      </c>
      <c r="B76" s="2"/>
      <c r="C76" s="2"/>
      <c r="D76" s="5" t="s">
        <v>37</v>
      </c>
      <c r="E76" s="5"/>
      <c r="F76" s="5"/>
      <c r="G76" s="5"/>
      <c r="H76" s="4" t="s">
        <v>38</v>
      </c>
      <c r="I76" s="4"/>
      <c r="J76" s="4"/>
      <c r="K76" s="4"/>
      <c r="L76" s="4"/>
      <c r="M76" s="4"/>
      <c r="N76" s="4"/>
    </row>
    <row r="77" spans="1:14" ht="19.5" customHeight="1" x14ac:dyDescent="0.35">
      <c r="A77" s="2" t="s">
        <v>3</v>
      </c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27.75" customHeight="1" x14ac:dyDescent="0.35">
      <c r="A78" s="14" t="s">
        <v>4</v>
      </c>
      <c r="B78" s="14" t="s">
        <v>5</v>
      </c>
      <c r="C78" s="14" t="s">
        <v>6</v>
      </c>
      <c r="D78" s="14" t="s">
        <v>7</v>
      </c>
      <c r="E78" s="14" t="s">
        <v>8</v>
      </c>
      <c r="F78" s="14" t="s">
        <v>9</v>
      </c>
      <c r="G78" s="14" t="s">
        <v>10</v>
      </c>
      <c r="H78" s="14" t="s">
        <v>11</v>
      </c>
      <c r="I78" s="14" t="s">
        <v>12</v>
      </c>
      <c r="J78" s="14" t="s">
        <v>13</v>
      </c>
      <c r="K78" s="14" t="s">
        <v>14</v>
      </c>
      <c r="L78" s="14" t="s">
        <v>15</v>
      </c>
      <c r="M78" s="14" t="s">
        <v>16</v>
      </c>
      <c r="N78" s="14" t="s">
        <v>17</v>
      </c>
    </row>
    <row r="79" spans="1:14" ht="18" customHeight="1" x14ac:dyDescent="0.35">
      <c r="A79" s="15" t="s">
        <v>18</v>
      </c>
      <c r="B79" s="16">
        <v>1754</v>
      </c>
      <c r="C79" s="16">
        <v>2.4</v>
      </c>
      <c r="D79" s="16">
        <v>431.6</v>
      </c>
      <c r="E79" s="16">
        <v>127.3</v>
      </c>
      <c r="F79" s="16">
        <v>29.7</v>
      </c>
      <c r="G79" s="16">
        <v>362</v>
      </c>
      <c r="H79" s="16">
        <v>222</v>
      </c>
      <c r="I79" s="16">
        <v>489</v>
      </c>
      <c r="J79" s="16">
        <v>551</v>
      </c>
      <c r="K79" s="16">
        <v>657</v>
      </c>
      <c r="L79" s="16">
        <v>146</v>
      </c>
      <c r="M79" s="16">
        <v>724</v>
      </c>
      <c r="N79" s="16"/>
    </row>
    <row r="80" spans="1:14" ht="18" customHeight="1" x14ac:dyDescent="0.35">
      <c r="A80" s="10" t="s">
        <v>19</v>
      </c>
      <c r="B80" s="11">
        <v>1344</v>
      </c>
      <c r="C80" s="11">
        <v>1</v>
      </c>
      <c r="D80" s="11">
        <v>261.60000000000002</v>
      </c>
      <c r="E80" s="11">
        <v>116.9</v>
      </c>
      <c r="F80" s="11">
        <v>17.5</v>
      </c>
      <c r="G80" s="11">
        <v>347</v>
      </c>
      <c r="H80" s="11">
        <v>332</v>
      </c>
      <c r="I80" s="11">
        <v>456</v>
      </c>
      <c r="J80" s="11">
        <v>525</v>
      </c>
      <c r="K80" s="11">
        <v>674</v>
      </c>
      <c r="L80" s="11">
        <v>108</v>
      </c>
      <c r="M80" s="11">
        <v>802</v>
      </c>
      <c r="N80" s="11"/>
    </row>
    <row r="81" spans="1:14" ht="18" customHeight="1" x14ac:dyDescent="0.35">
      <c r="A81" s="15" t="s">
        <v>20</v>
      </c>
      <c r="B81" s="16">
        <v>1732</v>
      </c>
      <c r="C81" s="16">
        <v>1.4</v>
      </c>
      <c r="D81" s="16">
        <v>281.5</v>
      </c>
      <c r="E81" s="16">
        <v>162.6</v>
      </c>
      <c r="F81" s="16">
        <v>26.2</v>
      </c>
      <c r="G81" s="16">
        <v>196</v>
      </c>
      <c r="H81" s="16">
        <v>194</v>
      </c>
      <c r="I81" s="16">
        <v>304</v>
      </c>
      <c r="J81" s="16">
        <v>364</v>
      </c>
      <c r="K81" s="16">
        <v>524</v>
      </c>
      <c r="L81" s="16">
        <v>144</v>
      </c>
      <c r="M81" s="16">
        <v>636</v>
      </c>
      <c r="N81" s="16"/>
    </row>
    <row r="82" spans="1:14" ht="18" customHeight="1" x14ac:dyDescent="0.35">
      <c r="A82" s="10" t="s">
        <v>21</v>
      </c>
      <c r="B82" s="11">
        <v>1653</v>
      </c>
      <c r="C82" s="11">
        <v>1.5</v>
      </c>
      <c r="D82" s="11">
        <v>439.6</v>
      </c>
      <c r="E82" s="11">
        <v>134.6</v>
      </c>
      <c r="F82" s="11">
        <v>24.8</v>
      </c>
      <c r="G82" s="11">
        <v>165</v>
      </c>
      <c r="H82" s="11">
        <v>161</v>
      </c>
      <c r="I82" s="11">
        <v>330</v>
      </c>
      <c r="J82" s="11">
        <v>376</v>
      </c>
      <c r="K82" s="11">
        <v>531</v>
      </c>
      <c r="L82" s="11">
        <v>171</v>
      </c>
      <c r="M82" s="11">
        <v>674</v>
      </c>
      <c r="N82" s="11"/>
    </row>
    <row r="83" spans="1:14" ht="19.5" customHeight="1" x14ac:dyDescent="0.35">
      <c r="A83" s="17" t="s">
        <v>22</v>
      </c>
      <c r="B83" s="18">
        <f>SUM(B79:B82)</f>
        <v>6483</v>
      </c>
      <c r="C83" s="18">
        <f>AVERAGE(C79:C82)</f>
        <v>1.575</v>
      </c>
      <c r="D83" s="18">
        <f>SUM(D79:D82)</f>
        <v>1414.3000000000002</v>
      </c>
      <c r="E83" s="18">
        <f>SUM(E79:E82)</f>
        <v>541.4</v>
      </c>
      <c r="F83" s="18">
        <f>SUM(F79:F82)</f>
        <v>98.2</v>
      </c>
      <c r="G83" s="18">
        <f>AVERAGE(G79:G82)</f>
        <v>267.5</v>
      </c>
      <c r="H83" s="18">
        <f>AVERAGE(H79:H82)</f>
        <v>227.25</v>
      </c>
      <c r="I83" s="18">
        <f>MAX(I79:I82)</f>
        <v>489</v>
      </c>
      <c r="J83" s="18">
        <f>MAX(J79:J82)</f>
        <v>551</v>
      </c>
      <c r="K83" s="18">
        <f>MAX(K79:K82)</f>
        <v>674</v>
      </c>
      <c r="L83" s="18">
        <f>MIN(L79:L82)</f>
        <v>108</v>
      </c>
      <c r="M83" s="18">
        <f>MAX(M79:M82)</f>
        <v>802</v>
      </c>
      <c r="N83" s="18"/>
    </row>
    <row r="84" spans="1:14" ht="7.5" customHeight="1" x14ac:dyDescent="0.35"/>
    <row r="85" spans="1:14" ht="19.5" customHeight="1" x14ac:dyDescent="0.35">
      <c r="A85" s="2" t="s">
        <v>0</v>
      </c>
      <c r="B85" s="2"/>
      <c r="C85" s="2"/>
      <c r="D85" s="5" t="s">
        <v>39</v>
      </c>
      <c r="E85" s="5"/>
      <c r="F85" s="5"/>
      <c r="G85" s="5"/>
      <c r="H85" s="4" t="s">
        <v>40</v>
      </c>
      <c r="I85" s="4"/>
      <c r="J85" s="4"/>
      <c r="K85" s="4"/>
      <c r="L85" s="4"/>
      <c r="M85" s="4"/>
      <c r="N85" s="4"/>
    </row>
    <row r="86" spans="1:14" ht="19.5" customHeight="1" x14ac:dyDescent="0.35">
      <c r="A86" s="2" t="s">
        <v>3</v>
      </c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27.75" customHeight="1" x14ac:dyDescent="0.35">
      <c r="A87" s="14" t="s">
        <v>4</v>
      </c>
      <c r="B87" s="14" t="s">
        <v>5</v>
      </c>
      <c r="C87" s="14" t="s">
        <v>6</v>
      </c>
      <c r="D87" s="14" t="s">
        <v>7</v>
      </c>
      <c r="E87" s="14" t="s">
        <v>8</v>
      </c>
      <c r="F87" s="14" t="s">
        <v>9</v>
      </c>
      <c r="G87" s="14" t="s">
        <v>10</v>
      </c>
      <c r="H87" s="14" t="s">
        <v>11</v>
      </c>
      <c r="I87" s="14" t="s">
        <v>12</v>
      </c>
      <c r="J87" s="14" t="s">
        <v>13</v>
      </c>
      <c r="K87" s="14" t="s">
        <v>14</v>
      </c>
      <c r="L87" s="14" t="s">
        <v>15</v>
      </c>
      <c r="M87" s="14" t="s">
        <v>16</v>
      </c>
      <c r="N87" s="14" t="s">
        <v>17</v>
      </c>
    </row>
    <row r="88" spans="1:14" ht="18" customHeight="1" x14ac:dyDescent="0.35">
      <c r="A88" s="15" t="s">
        <v>18</v>
      </c>
      <c r="B88" s="16">
        <v>2006</v>
      </c>
      <c r="C88" s="16">
        <v>1.5</v>
      </c>
      <c r="D88" s="16">
        <v>413.4</v>
      </c>
      <c r="E88" s="16">
        <v>142</v>
      </c>
      <c r="F88" s="16">
        <v>16.600000000000001</v>
      </c>
      <c r="G88" s="16">
        <v>243</v>
      </c>
      <c r="H88" s="16">
        <v>183</v>
      </c>
      <c r="I88" s="16">
        <v>417</v>
      </c>
      <c r="J88" s="16">
        <v>464</v>
      </c>
      <c r="K88" s="16">
        <v>571</v>
      </c>
      <c r="L88" s="16">
        <v>200</v>
      </c>
      <c r="M88" s="16">
        <v>622</v>
      </c>
      <c r="N88" s="16"/>
    </row>
    <row r="89" spans="1:14" ht="18" customHeight="1" x14ac:dyDescent="0.35">
      <c r="A89" s="10" t="s">
        <v>19</v>
      </c>
      <c r="B89" s="11">
        <v>1599</v>
      </c>
      <c r="C89" s="11">
        <v>3.2</v>
      </c>
      <c r="D89" s="11">
        <v>310.8</v>
      </c>
      <c r="E89" s="11">
        <v>159.9</v>
      </c>
      <c r="F89" s="11">
        <v>23.8</v>
      </c>
      <c r="G89" s="11">
        <v>307</v>
      </c>
      <c r="H89" s="11">
        <v>213</v>
      </c>
      <c r="I89" s="11">
        <v>407</v>
      </c>
      <c r="J89" s="11">
        <v>458</v>
      </c>
      <c r="K89" s="11">
        <v>596</v>
      </c>
      <c r="L89" s="11">
        <v>140</v>
      </c>
      <c r="M89" s="11">
        <v>668</v>
      </c>
      <c r="N89" s="11"/>
    </row>
    <row r="90" spans="1:14" ht="18" customHeight="1" x14ac:dyDescent="0.35">
      <c r="A90" s="15" t="s">
        <v>20</v>
      </c>
      <c r="B90" s="16">
        <v>1675</v>
      </c>
      <c r="C90" s="16">
        <v>2.2000000000000002</v>
      </c>
      <c r="D90" s="16">
        <v>383.9</v>
      </c>
      <c r="E90" s="16">
        <v>142.30000000000001</v>
      </c>
      <c r="F90" s="16">
        <v>28.1</v>
      </c>
      <c r="G90" s="16">
        <v>298</v>
      </c>
      <c r="H90" s="16">
        <v>153</v>
      </c>
      <c r="I90" s="16">
        <v>491</v>
      </c>
      <c r="J90" s="16">
        <v>560</v>
      </c>
      <c r="K90" s="16">
        <v>709</v>
      </c>
      <c r="L90" s="16">
        <v>173</v>
      </c>
      <c r="M90" s="16">
        <v>773</v>
      </c>
      <c r="N90" s="16"/>
    </row>
    <row r="91" spans="1:14" ht="18" customHeight="1" x14ac:dyDescent="0.35">
      <c r="A91" s="10" t="s">
        <v>21</v>
      </c>
      <c r="B91" s="11">
        <v>1563</v>
      </c>
      <c r="C91" s="11">
        <v>2.2000000000000002</v>
      </c>
      <c r="D91" s="11">
        <v>297.8</v>
      </c>
      <c r="E91" s="11">
        <v>185.5</v>
      </c>
      <c r="F91" s="11">
        <v>20.6</v>
      </c>
      <c r="G91" s="11">
        <v>255</v>
      </c>
      <c r="H91" s="11">
        <v>158</v>
      </c>
      <c r="I91" s="11">
        <v>448</v>
      </c>
      <c r="J91" s="11">
        <v>509</v>
      </c>
      <c r="K91" s="11">
        <v>653</v>
      </c>
      <c r="L91" s="11">
        <v>104</v>
      </c>
      <c r="M91" s="11">
        <v>713</v>
      </c>
      <c r="N91" s="11"/>
    </row>
    <row r="92" spans="1:14" ht="19.5" customHeight="1" x14ac:dyDescent="0.35">
      <c r="A92" s="17" t="s">
        <v>22</v>
      </c>
      <c r="B92" s="18">
        <f>SUM(B88:B91)</f>
        <v>6843</v>
      </c>
      <c r="C92" s="18">
        <f>AVERAGE(C88:C91)</f>
        <v>2.2750000000000004</v>
      </c>
      <c r="D92" s="18">
        <f>SUM(D88:D91)</f>
        <v>1405.8999999999999</v>
      </c>
      <c r="E92" s="18">
        <f>SUM(E88:E91)</f>
        <v>629.70000000000005</v>
      </c>
      <c r="F92" s="18">
        <f>SUM(F88:F91)</f>
        <v>89.1</v>
      </c>
      <c r="G92" s="18">
        <f>AVERAGE(G88:G91)</f>
        <v>275.75</v>
      </c>
      <c r="H92" s="18">
        <f>AVERAGE(H88:H91)</f>
        <v>176.75</v>
      </c>
      <c r="I92" s="18">
        <f>MAX(I88:I91)</f>
        <v>491</v>
      </c>
      <c r="J92" s="18">
        <f>MAX(J88:J91)</f>
        <v>560</v>
      </c>
      <c r="K92" s="18">
        <f>MAX(K88:K91)</f>
        <v>709</v>
      </c>
      <c r="L92" s="18">
        <f>MIN(L88:L91)</f>
        <v>104</v>
      </c>
      <c r="M92" s="18">
        <f>MAX(M88:M91)</f>
        <v>773</v>
      </c>
      <c r="N92" s="18"/>
    </row>
    <row r="93" spans="1:14" ht="7.5" customHeight="1" x14ac:dyDescent="0.35"/>
    <row r="94" spans="1:14" ht="19.5" customHeight="1" x14ac:dyDescent="0.35">
      <c r="A94" s="2" t="s">
        <v>0</v>
      </c>
      <c r="B94" s="2"/>
      <c r="C94" s="2"/>
      <c r="D94" s="5" t="s">
        <v>41</v>
      </c>
      <c r="E94" s="5"/>
      <c r="F94" s="5"/>
      <c r="G94" s="5"/>
      <c r="H94" s="4" t="s">
        <v>42</v>
      </c>
      <c r="I94" s="4"/>
      <c r="J94" s="4"/>
      <c r="K94" s="4"/>
      <c r="L94" s="4"/>
      <c r="M94" s="4"/>
      <c r="N94" s="4"/>
    </row>
    <row r="95" spans="1:14" ht="19.5" customHeight="1" x14ac:dyDescent="0.35">
      <c r="A95" s="2" t="s">
        <v>3</v>
      </c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27.75" customHeight="1" x14ac:dyDescent="0.35">
      <c r="A96" s="14" t="s">
        <v>4</v>
      </c>
      <c r="B96" s="14" t="s">
        <v>5</v>
      </c>
      <c r="C96" s="14" t="s">
        <v>6</v>
      </c>
      <c r="D96" s="14" t="s">
        <v>7</v>
      </c>
      <c r="E96" s="14" t="s">
        <v>8</v>
      </c>
      <c r="F96" s="14" t="s">
        <v>9</v>
      </c>
      <c r="G96" s="14" t="s">
        <v>10</v>
      </c>
      <c r="H96" s="14" t="s">
        <v>11</v>
      </c>
      <c r="I96" s="14" t="s">
        <v>12</v>
      </c>
      <c r="J96" s="14" t="s">
        <v>13</v>
      </c>
      <c r="K96" s="14" t="s">
        <v>14</v>
      </c>
      <c r="L96" s="14" t="s">
        <v>15</v>
      </c>
      <c r="M96" s="14" t="s">
        <v>16</v>
      </c>
      <c r="N96" s="14" t="s">
        <v>17</v>
      </c>
    </row>
    <row r="97" spans="1:14" ht="18" customHeight="1" x14ac:dyDescent="0.35">
      <c r="A97" s="15" t="s">
        <v>18</v>
      </c>
      <c r="B97" s="16">
        <v>2191</v>
      </c>
      <c r="C97" s="16">
        <v>1.2</v>
      </c>
      <c r="D97" s="16">
        <v>334</v>
      </c>
      <c r="E97" s="16">
        <v>129.30000000000001</v>
      </c>
      <c r="F97" s="16">
        <v>31.5</v>
      </c>
      <c r="G97" s="16">
        <v>263</v>
      </c>
      <c r="H97" s="16">
        <v>155</v>
      </c>
      <c r="I97" s="16">
        <v>417</v>
      </c>
      <c r="J97" s="16">
        <v>510</v>
      </c>
      <c r="K97" s="16">
        <v>666</v>
      </c>
      <c r="L97" s="16">
        <v>193</v>
      </c>
      <c r="M97" s="16">
        <v>754</v>
      </c>
      <c r="N97" s="16"/>
    </row>
    <row r="98" spans="1:14" ht="18" customHeight="1" x14ac:dyDescent="0.35">
      <c r="A98" s="10" t="s">
        <v>19</v>
      </c>
      <c r="B98" s="11">
        <v>1956</v>
      </c>
      <c r="C98" s="11">
        <v>3</v>
      </c>
      <c r="D98" s="11">
        <v>420.2</v>
      </c>
      <c r="E98" s="11">
        <v>192.6</v>
      </c>
      <c r="F98" s="11">
        <v>16.8</v>
      </c>
      <c r="G98" s="11">
        <v>301</v>
      </c>
      <c r="H98" s="11">
        <v>241</v>
      </c>
      <c r="I98" s="11">
        <v>453</v>
      </c>
      <c r="J98" s="11">
        <v>551</v>
      </c>
      <c r="K98" s="11">
        <v>678</v>
      </c>
      <c r="L98" s="11">
        <v>170</v>
      </c>
      <c r="M98" s="11">
        <v>786</v>
      </c>
      <c r="N98" s="11"/>
    </row>
    <row r="99" spans="1:14" ht="18" customHeight="1" x14ac:dyDescent="0.35">
      <c r="A99" s="15" t="s">
        <v>20</v>
      </c>
      <c r="B99" s="16">
        <v>2150</v>
      </c>
      <c r="C99" s="16">
        <v>2.9</v>
      </c>
      <c r="D99" s="16">
        <v>330.7</v>
      </c>
      <c r="E99" s="16">
        <v>182.3</v>
      </c>
      <c r="F99" s="16">
        <v>16.3</v>
      </c>
      <c r="G99" s="16">
        <v>379</v>
      </c>
      <c r="H99" s="16">
        <v>175</v>
      </c>
      <c r="I99" s="16">
        <v>551</v>
      </c>
      <c r="J99" s="16">
        <v>640</v>
      </c>
      <c r="K99" s="16">
        <v>749</v>
      </c>
      <c r="L99" s="16">
        <v>196</v>
      </c>
      <c r="M99" s="16">
        <v>891</v>
      </c>
      <c r="N99" s="16"/>
    </row>
    <row r="100" spans="1:14" ht="18" customHeight="1" x14ac:dyDescent="0.35">
      <c r="A100" s="10" t="s">
        <v>21</v>
      </c>
      <c r="B100" s="11">
        <v>1502</v>
      </c>
      <c r="C100" s="11">
        <v>1</v>
      </c>
      <c r="D100" s="11">
        <v>336.3</v>
      </c>
      <c r="E100" s="11">
        <v>117.7</v>
      </c>
      <c r="F100" s="11">
        <v>26.5</v>
      </c>
      <c r="G100" s="11">
        <v>252</v>
      </c>
      <c r="H100" s="11">
        <v>167</v>
      </c>
      <c r="I100" s="11">
        <v>451</v>
      </c>
      <c r="J100" s="11">
        <v>517</v>
      </c>
      <c r="K100" s="11">
        <v>641</v>
      </c>
      <c r="L100" s="11">
        <v>191</v>
      </c>
      <c r="M100" s="11">
        <v>735</v>
      </c>
      <c r="N100" s="11"/>
    </row>
    <row r="101" spans="1:14" ht="19.5" customHeight="1" x14ac:dyDescent="0.35">
      <c r="A101" s="17" t="s">
        <v>22</v>
      </c>
      <c r="B101" s="18">
        <f>SUM(B97:B100)</f>
        <v>7799</v>
      </c>
      <c r="C101" s="18">
        <f>AVERAGE(C97:C100)</f>
        <v>2.0249999999999999</v>
      </c>
      <c r="D101" s="18">
        <f>SUM(D97:D100)</f>
        <v>1421.2</v>
      </c>
      <c r="E101" s="18">
        <f>SUM(E97:E100)</f>
        <v>621.9</v>
      </c>
      <c r="F101" s="18">
        <f>SUM(F97:F100)</f>
        <v>91.1</v>
      </c>
      <c r="G101" s="18">
        <f>AVERAGE(G97:G100)</f>
        <v>298.75</v>
      </c>
      <c r="H101" s="18">
        <f>AVERAGE(H97:H100)</f>
        <v>184.5</v>
      </c>
      <c r="I101" s="18">
        <f>MAX(I97:I100)</f>
        <v>551</v>
      </c>
      <c r="J101" s="18">
        <f>MAX(J97:J100)</f>
        <v>640</v>
      </c>
      <c r="K101" s="18">
        <f>MAX(K97:K100)</f>
        <v>749</v>
      </c>
      <c r="L101" s="18">
        <f>MIN(L97:L100)</f>
        <v>170</v>
      </c>
      <c r="M101" s="18">
        <f>MAX(M97:M100)</f>
        <v>891</v>
      </c>
      <c r="N101" s="18"/>
    </row>
    <row r="102" spans="1:14" ht="7.5" customHeight="1" x14ac:dyDescent="0.35"/>
    <row r="103" spans="1:14" ht="19.5" customHeight="1" x14ac:dyDescent="0.35">
      <c r="A103" s="2" t="s">
        <v>0</v>
      </c>
      <c r="B103" s="2"/>
      <c r="C103" s="2"/>
      <c r="D103" s="5" t="s">
        <v>43</v>
      </c>
      <c r="E103" s="5"/>
      <c r="F103" s="5"/>
      <c r="G103" s="5"/>
      <c r="H103" s="4" t="s">
        <v>44</v>
      </c>
      <c r="I103" s="4"/>
      <c r="J103" s="4"/>
      <c r="K103" s="4"/>
      <c r="L103" s="4"/>
      <c r="M103" s="4"/>
      <c r="N103" s="4"/>
    </row>
    <row r="104" spans="1:14" ht="19.5" customHeight="1" x14ac:dyDescent="0.35">
      <c r="A104" s="2" t="s">
        <v>3</v>
      </c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27.75" customHeight="1" x14ac:dyDescent="0.35">
      <c r="A105" s="14" t="s">
        <v>4</v>
      </c>
      <c r="B105" s="14" t="s">
        <v>5</v>
      </c>
      <c r="C105" s="14" t="s">
        <v>6</v>
      </c>
      <c r="D105" s="14" t="s">
        <v>7</v>
      </c>
      <c r="E105" s="14" t="s">
        <v>8</v>
      </c>
      <c r="F105" s="14" t="s">
        <v>9</v>
      </c>
      <c r="G105" s="14" t="s">
        <v>10</v>
      </c>
      <c r="H105" s="14" t="s">
        <v>11</v>
      </c>
      <c r="I105" s="14" t="s">
        <v>12</v>
      </c>
      <c r="J105" s="14" t="s">
        <v>13</v>
      </c>
      <c r="K105" s="14" t="s">
        <v>14</v>
      </c>
      <c r="L105" s="14" t="s">
        <v>15</v>
      </c>
      <c r="M105" s="14" t="s">
        <v>16</v>
      </c>
      <c r="N105" s="14" t="s">
        <v>17</v>
      </c>
    </row>
    <row r="106" spans="1:14" ht="18" customHeight="1" x14ac:dyDescent="0.35">
      <c r="A106" s="15" t="s">
        <v>18</v>
      </c>
      <c r="B106" s="16">
        <v>1482</v>
      </c>
      <c r="C106" s="16">
        <v>0.5</v>
      </c>
      <c r="D106" s="16">
        <v>389</v>
      </c>
      <c r="E106" s="16">
        <v>203</v>
      </c>
      <c r="F106" s="16">
        <v>20.5</v>
      </c>
      <c r="G106" s="16">
        <v>246</v>
      </c>
      <c r="H106" s="16">
        <v>242</v>
      </c>
      <c r="I106" s="16">
        <v>425</v>
      </c>
      <c r="J106" s="16">
        <v>499</v>
      </c>
      <c r="K106" s="16">
        <v>605</v>
      </c>
      <c r="L106" s="16">
        <v>157</v>
      </c>
      <c r="M106" s="16">
        <v>729</v>
      </c>
      <c r="N106" s="16"/>
    </row>
    <row r="107" spans="1:14" ht="18" customHeight="1" x14ac:dyDescent="0.35">
      <c r="A107" s="10" t="s">
        <v>19</v>
      </c>
      <c r="B107" s="11">
        <v>1887</v>
      </c>
      <c r="C107" s="11">
        <v>0.5</v>
      </c>
      <c r="D107" s="11">
        <v>352</v>
      </c>
      <c r="E107" s="11">
        <v>143.5</v>
      </c>
      <c r="F107" s="11">
        <v>21.1</v>
      </c>
      <c r="G107" s="11">
        <v>177</v>
      </c>
      <c r="H107" s="11">
        <v>177</v>
      </c>
      <c r="I107" s="11">
        <v>357</v>
      </c>
      <c r="J107" s="11">
        <v>417</v>
      </c>
      <c r="K107" s="11">
        <v>516</v>
      </c>
      <c r="L107" s="11">
        <v>182</v>
      </c>
      <c r="M107" s="11">
        <v>666</v>
      </c>
      <c r="N107" s="11"/>
    </row>
    <row r="108" spans="1:14" ht="18" customHeight="1" x14ac:dyDescent="0.35">
      <c r="A108" s="15" t="s">
        <v>20</v>
      </c>
      <c r="B108" s="16">
        <v>2146</v>
      </c>
      <c r="C108" s="16">
        <v>0.8</v>
      </c>
      <c r="D108" s="16">
        <v>442.2</v>
      </c>
      <c r="E108" s="16">
        <v>117.3</v>
      </c>
      <c r="F108" s="16">
        <v>28</v>
      </c>
      <c r="G108" s="16">
        <v>241</v>
      </c>
      <c r="H108" s="16">
        <v>151</v>
      </c>
      <c r="I108" s="16">
        <v>382</v>
      </c>
      <c r="J108" s="16">
        <v>472</v>
      </c>
      <c r="K108" s="16">
        <v>605</v>
      </c>
      <c r="L108" s="16">
        <v>176</v>
      </c>
      <c r="M108" s="16">
        <v>664</v>
      </c>
      <c r="N108" s="16"/>
    </row>
    <row r="109" spans="1:14" ht="18" customHeight="1" x14ac:dyDescent="0.35">
      <c r="A109" s="10" t="s">
        <v>21</v>
      </c>
      <c r="B109" s="11">
        <v>1945</v>
      </c>
      <c r="C109" s="11">
        <v>1.4</v>
      </c>
      <c r="D109" s="11">
        <v>256</v>
      </c>
      <c r="E109" s="11">
        <v>187.2</v>
      </c>
      <c r="F109" s="11">
        <v>28.6</v>
      </c>
      <c r="G109" s="11">
        <v>368</v>
      </c>
      <c r="H109" s="11">
        <v>239</v>
      </c>
      <c r="I109" s="11">
        <v>535</v>
      </c>
      <c r="J109" s="11">
        <v>601</v>
      </c>
      <c r="K109" s="11">
        <v>750</v>
      </c>
      <c r="L109" s="11">
        <v>112</v>
      </c>
      <c r="M109" s="11">
        <v>888</v>
      </c>
      <c r="N109" s="11"/>
    </row>
    <row r="110" spans="1:14" ht="19.5" customHeight="1" x14ac:dyDescent="0.35">
      <c r="A110" s="17" t="s">
        <v>22</v>
      </c>
      <c r="B110" s="18">
        <f>SUM(B106:B109)</f>
        <v>7460</v>
      </c>
      <c r="C110" s="18">
        <f>AVERAGE(C106:C109)</f>
        <v>0.8</v>
      </c>
      <c r="D110" s="18">
        <f>SUM(D106:D109)</f>
        <v>1439.2</v>
      </c>
      <c r="E110" s="18">
        <f>SUM(E106:E109)</f>
        <v>651</v>
      </c>
      <c r="F110" s="18">
        <f>SUM(F106:F109)</f>
        <v>98.199999999999989</v>
      </c>
      <c r="G110" s="18">
        <f>AVERAGE(G106:G109)</f>
        <v>258</v>
      </c>
      <c r="H110" s="18">
        <f>AVERAGE(H106:H109)</f>
        <v>202.25</v>
      </c>
      <c r="I110" s="18">
        <f>MAX(I106:I109)</f>
        <v>535</v>
      </c>
      <c r="J110" s="18">
        <f>MAX(J106:J109)</f>
        <v>601</v>
      </c>
      <c r="K110" s="18">
        <f>MAX(K106:K109)</f>
        <v>750</v>
      </c>
      <c r="L110" s="18">
        <f>MIN(L106:L109)</f>
        <v>112</v>
      </c>
      <c r="M110" s="18">
        <f>MAX(M106:M109)</f>
        <v>888</v>
      </c>
      <c r="N110" s="18"/>
    </row>
    <row r="111" spans="1:14" ht="7.5" customHeight="1" x14ac:dyDescent="0.35"/>
    <row r="112" spans="1:14" ht="19.5" customHeight="1" x14ac:dyDescent="0.35">
      <c r="A112" s="2" t="s">
        <v>0</v>
      </c>
      <c r="B112" s="2"/>
      <c r="C112" s="2"/>
      <c r="D112" s="5" t="s">
        <v>45</v>
      </c>
      <c r="E112" s="5"/>
      <c r="F112" s="5"/>
      <c r="G112" s="5"/>
      <c r="H112" s="4" t="s">
        <v>46</v>
      </c>
      <c r="I112" s="4"/>
      <c r="J112" s="4"/>
      <c r="K112" s="4"/>
      <c r="L112" s="4"/>
      <c r="M112" s="4"/>
      <c r="N112" s="4"/>
    </row>
    <row r="113" spans="1:14" ht="19.5" customHeight="1" x14ac:dyDescent="0.35">
      <c r="A113" s="2" t="s">
        <v>3</v>
      </c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27.75" customHeight="1" x14ac:dyDescent="0.35">
      <c r="A114" s="14" t="s">
        <v>4</v>
      </c>
      <c r="B114" s="14" t="s">
        <v>5</v>
      </c>
      <c r="C114" s="14" t="s">
        <v>6</v>
      </c>
      <c r="D114" s="14" t="s">
        <v>7</v>
      </c>
      <c r="E114" s="14" t="s">
        <v>8</v>
      </c>
      <c r="F114" s="14" t="s">
        <v>9</v>
      </c>
      <c r="G114" s="14" t="s">
        <v>10</v>
      </c>
      <c r="H114" s="14" t="s">
        <v>11</v>
      </c>
      <c r="I114" s="14" t="s">
        <v>12</v>
      </c>
      <c r="J114" s="14" t="s">
        <v>13</v>
      </c>
      <c r="K114" s="14" t="s">
        <v>14</v>
      </c>
      <c r="L114" s="14" t="s">
        <v>15</v>
      </c>
      <c r="M114" s="14" t="s">
        <v>16</v>
      </c>
      <c r="N114" s="14" t="s">
        <v>17</v>
      </c>
    </row>
    <row r="115" spans="1:14" ht="18" customHeight="1" x14ac:dyDescent="0.35">
      <c r="A115" s="15" t="s">
        <v>18</v>
      </c>
      <c r="B115" s="16">
        <v>1977</v>
      </c>
      <c r="C115" s="16">
        <v>2.1</v>
      </c>
      <c r="D115" s="16">
        <v>360.6</v>
      </c>
      <c r="E115" s="16">
        <v>203.5</v>
      </c>
      <c r="F115" s="16">
        <v>23.5</v>
      </c>
      <c r="G115" s="16">
        <v>357</v>
      </c>
      <c r="H115" s="16">
        <v>253</v>
      </c>
      <c r="I115" s="16">
        <v>554</v>
      </c>
      <c r="J115" s="16">
        <v>634</v>
      </c>
      <c r="K115" s="16">
        <v>775</v>
      </c>
      <c r="L115" s="16">
        <v>107</v>
      </c>
      <c r="M115" s="16">
        <v>903</v>
      </c>
      <c r="N115" s="16"/>
    </row>
    <row r="116" spans="1:14" ht="18" customHeight="1" x14ac:dyDescent="0.35">
      <c r="A116" s="10" t="s">
        <v>19</v>
      </c>
      <c r="B116" s="11">
        <v>1316</v>
      </c>
      <c r="C116" s="11">
        <v>3.2</v>
      </c>
      <c r="D116" s="11">
        <v>331.1</v>
      </c>
      <c r="E116" s="11">
        <v>146.5</v>
      </c>
      <c r="F116" s="11">
        <v>21.3</v>
      </c>
      <c r="G116" s="11">
        <v>345</v>
      </c>
      <c r="H116" s="11">
        <v>170</v>
      </c>
      <c r="I116" s="11">
        <v>525</v>
      </c>
      <c r="J116" s="11">
        <v>579</v>
      </c>
      <c r="K116" s="11">
        <v>696</v>
      </c>
      <c r="L116" s="11">
        <v>103</v>
      </c>
      <c r="M116" s="11">
        <v>811</v>
      </c>
      <c r="N116" s="11"/>
    </row>
    <row r="117" spans="1:14" ht="18" customHeight="1" x14ac:dyDescent="0.35">
      <c r="A117" s="15" t="s">
        <v>20</v>
      </c>
      <c r="B117" s="16">
        <v>1771</v>
      </c>
      <c r="C117" s="16">
        <v>2.9</v>
      </c>
      <c r="D117" s="16">
        <v>424</v>
      </c>
      <c r="E117" s="16">
        <v>139.6</v>
      </c>
      <c r="F117" s="16">
        <v>21.2</v>
      </c>
      <c r="G117" s="16">
        <v>375</v>
      </c>
      <c r="H117" s="16">
        <v>209</v>
      </c>
      <c r="I117" s="16">
        <v>478</v>
      </c>
      <c r="J117" s="16">
        <v>541</v>
      </c>
      <c r="K117" s="16">
        <v>700</v>
      </c>
      <c r="L117" s="16">
        <v>128</v>
      </c>
      <c r="M117" s="16">
        <v>770</v>
      </c>
      <c r="N117" s="16"/>
    </row>
    <row r="118" spans="1:14" ht="18" customHeight="1" x14ac:dyDescent="0.35">
      <c r="A118" s="10" t="s">
        <v>21</v>
      </c>
      <c r="B118" s="11">
        <v>1847</v>
      </c>
      <c r="C118" s="11">
        <v>2</v>
      </c>
      <c r="D118" s="11">
        <v>314.7</v>
      </c>
      <c r="E118" s="11">
        <v>171.3</v>
      </c>
      <c r="F118" s="11">
        <v>22.9</v>
      </c>
      <c r="G118" s="11">
        <v>277</v>
      </c>
      <c r="H118" s="11">
        <v>254</v>
      </c>
      <c r="I118" s="11">
        <v>444</v>
      </c>
      <c r="J118" s="11">
        <v>514</v>
      </c>
      <c r="K118" s="11">
        <v>638</v>
      </c>
      <c r="L118" s="11">
        <v>200</v>
      </c>
      <c r="M118" s="11">
        <v>694</v>
      </c>
      <c r="N118" s="11"/>
    </row>
    <row r="119" spans="1:14" ht="19.5" customHeight="1" x14ac:dyDescent="0.35">
      <c r="A119" s="17" t="s">
        <v>22</v>
      </c>
      <c r="B119" s="18">
        <f>SUM(B115:B118)</f>
        <v>6911</v>
      </c>
      <c r="C119" s="18">
        <f>AVERAGE(C115:C118)</f>
        <v>2.5500000000000003</v>
      </c>
      <c r="D119" s="18">
        <f>SUM(D115:D118)</f>
        <v>1430.4</v>
      </c>
      <c r="E119" s="18">
        <f>SUM(E115:E118)</f>
        <v>660.90000000000009</v>
      </c>
      <c r="F119" s="18">
        <f>SUM(F115:F118)</f>
        <v>88.9</v>
      </c>
      <c r="G119" s="18">
        <f>AVERAGE(G115:G118)</f>
        <v>338.5</v>
      </c>
      <c r="H119" s="18">
        <f>AVERAGE(H115:H118)</f>
        <v>221.5</v>
      </c>
      <c r="I119" s="18">
        <f>MAX(I115:I118)</f>
        <v>554</v>
      </c>
      <c r="J119" s="18">
        <f>MAX(J115:J118)</f>
        <v>634</v>
      </c>
      <c r="K119" s="18">
        <f>MAX(K115:K118)</f>
        <v>775</v>
      </c>
      <c r="L119" s="18">
        <f>MIN(L115:L118)</f>
        <v>103</v>
      </c>
      <c r="M119" s="18">
        <f>MAX(M115:M118)</f>
        <v>903</v>
      </c>
      <c r="N119" s="18"/>
    </row>
    <row r="120" spans="1:14" ht="7.5" customHeight="1" x14ac:dyDescent="0.35"/>
    <row r="121" spans="1:14" ht="19.5" customHeight="1" x14ac:dyDescent="0.35">
      <c r="A121" s="2" t="s">
        <v>0</v>
      </c>
      <c r="B121" s="2"/>
      <c r="C121" s="2"/>
      <c r="D121" s="5" t="s">
        <v>47</v>
      </c>
      <c r="E121" s="5"/>
      <c r="F121" s="5"/>
      <c r="G121" s="5"/>
      <c r="H121" s="4" t="s">
        <v>48</v>
      </c>
      <c r="I121" s="4"/>
      <c r="J121" s="4"/>
      <c r="K121" s="4"/>
      <c r="L121" s="4"/>
      <c r="M121" s="4"/>
      <c r="N121" s="4"/>
    </row>
    <row r="122" spans="1:14" ht="19.5" customHeight="1" x14ac:dyDescent="0.35">
      <c r="A122" s="2" t="s">
        <v>3</v>
      </c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27.75" customHeight="1" x14ac:dyDescent="0.35">
      <c r="A123" s="14" t="s">
        <v>4</v>
      </c>
      <c r="B123" s="14" t="s">
        <v>5</v>
      </c>
      <c r="C123" s="14" t="s">
        <v>6</v>
      </c>
      <c r="D123" s="14" t="s">
        <v>7</v>
      </c>
      <c r="E123" s="14" t="s">
        <v>8</v>
      </c>
      <c r="F123" s="14" t="s">
        <v>9</v>
      </c>
      <c r="G123" s="14" t="s">
        <v>10</v>
      </c>
      <c r="H123" s="14" t="s">
        <v>11</v>
      </c>
      <c r="I123" s="14" t="s">
        <v>12</v>
      </c>
      <c r="J123" s="14" t="s">
        <v>13</v>
      </c>
      <c r="K123" s="14" t="s">
        <v>14</v>
      </c>
      <c r="L123" s="14" t="s">
        <v>15</v>
      </c>
      <c r="M123" s="14" t="s">
        <v>16</v>
      </c>
      <c r="N123" s="14" t="s">
        <v>17</v>
      </c>
    </row>
    <row r="124" spans="1:14" ht="18" customHeight="1" x14ac:dyDescent="0.35">
      <c r="A124" s="15" t="s">
        <v>18</v>
      </c>
      <c r="B124" s="16">
        <v>1254</v>
      </c>
      <c r="C124" s="16">
        <v>2.2000000000000002</v>
      </c>
      <c r="D124" s="16">
        <v>346.1</v>
      </c>
      <c r="E124" s="16">
        <v>177.1</v>
      </c>
      <c r="F124" s="16">
        <v>31.8</v>
      </c>
      <c r="G124" s="16">
        <v>276</v>
      </c>
      <c r="H124" s="16">
        <v>156</v>
      </c>
      <c r="I124" s="16">
        <v>443</v>
      </c>
      <c r="J124" s="16">
        <v>501</v>
      </c>
      <c r="K124" s="16">
        <v>606</v>
      </c>
      <c r="L124" s="16">
        <v>155</v>
      </c>
      <c r="M124" s="16">
        <v>679</v>
      </c>
      <c r="N124" s="16"/>
    </row>
    <row r="125" spans="1:14" ht="18" customHeight="1" x14ac:dyDescent="0.35">
      <c r="A125" s="10" t="s">
        <v>19</v>
      </c>
      <c r="B125" s="11">
        <v>2128</v>
      </c>
      <c r="C125" s="11">
        <v>1.7</v>
      </c>
      <c r="D125" s="11">
        <v>402</v>
      </c>
      <c r="E125" s="11">
        <v>170.1</v>
      </c>
      <c r="F125" s="11">
        <v>24.1</v>
      </c>
      <c r="G125" s="11">
        <v>308</v>
      </c>
      <c r="H125" s="11">
        <v>301</v>
      </c>
      <c r="I125" s="11">
        <v>451</v>
      </c>
      <c r="J125" s="11">
        <v>507</v>
      </c>
      <c r="K125" s="11">
        <v>628</v>
      </c>
      <c r="L125" s="11">
        <v>130</v>
      </c>
      <c r="M125" s="11">
        <v>757</v>
      </c>
      <c r="N125" s="11"/>
    </row>
    <row r="126" spans="1:14" ht="18" customHeight="1" x14ac:dyDescent="0.35">
      <c r="A126" s="15" t="s">
        <v>20</v>
      </c>
      <c r="B126" s="16">
        <v>1819</v>
      </c>
      <c r="C126" s="16">
        <v>0.8</v>
      </c>
      <c r="D126" s="16">
        <v>385.7</v>
      </c>
      <c r="E126" s="16">
        <v>208.9</v>
      </c>
      <c r="F126" s="16">
        <v>26.6</v>
      </c>
      <c r="G126" s="16">
        <v>260</v>
      </c>
      <c r="H126" s="16">
        <v>219</v>
      </c>
      <c r="I126" s="16">
        <v>384</v>
      </c>
      <c r="J126" s="16">
        <v>456</v>
      </c>
      <c r="K126" s="16">
        <v>591</v>
      </c>
      <c r="L126" s="16">
        <v>153</v>
      </c>
      <c r="M126" s="16">
        <v>657</v>
      </c>
      <c r="N126" s="16"/>
    </row>
    <row r="127" spans="1:14" ht="18" customHeight="1" x14ac:dyDescent="0.35">
      <c r="A127" s="10" t="s">
        <v>21</v>
      </c>
      <c r="B127" s="11">
        <v>1315</v>
      </c>
      <c r="C127" s="11">
        <v>3.2</v>
      </c>
      <c r="D127" s="11">
        <v>345.3</v>
      </c>
      <c r="E127" s="11">
        <v>146.30000000000001</v>
      </c>
      <c r="F127" s="11">
        <v>20.5</v>
      </c>
      <c r="G127" s="11">
        <v>172</v>
      </c>
      <c r="H127" s="11">
        <v>157</v>
      </c>
      <c r="I127" s="11">
        <v>308</v>
      </c>
      <c r="J127" s="11">
        <v>360</v>
      </c>
      <c r="K127" s="11">
        <v>448</v>
      </c>
      <c r="L127" s="11">
        <v>107</v>
      </c>
      <c r="M127" s="11">
        <v>551</v>
      </c>
      <c r="N127" s="11"/>
    </row>
    <row r="128" spans="1:14" ht="19.5" customHeight="1" x14ac:dyDescent="0.35">
      <c r="A128" s="17" t="s">
        <v>22</v>
      </c>
      <c r="B128" s="18">
        <f>SUM(B124:B127)</f>
        <v>6516</v>
      </c>
      <c r="C128" s="18">
        <f>AVERAGE(C124:C127)</f>
        <v>1.9750000000000001</v>
      </c>
      <c r="D128" s="18">
        <f>SUM(D124:D127)</f>
        <v>1479.1</v>
      </c>
      <c r="E128" s="18">
        <f>SUM(E124:E127)</f>
        <v>702.40000000000009</v>
      </c>
      <c r="F128" s="18">
        <f>SUM(F124:F127)</f>
        <v>103</v>
      </c>
      <c r="G128" s="18">
        <f>AVERAGE(G124:G127)</f>
        <v>254</v>
      </c>
      <c r="H128" s="18">
        <f>AVERAGE(H124:H127)</f>
        <v>208.25</v>
      </c>
      <c r="I128" s="18">
        <f>MAX(I124:I127)</f>
        <v>451</v>
      </c>
      <c r="J128" s="18">
        <f>MAX(J124:J127)</f>
        <v>507</v>
      </c>
      <c r="K128" s="18">
        <f>MAX(K124:K127)</f>
        <v>628</v>
      </c>
      <c r="L128" s="18">
        <f>MIN(L124:L127)</f>
        <v>107</v>
      </c>
      <c r="M128" s="18">
        <f>MAX(M124:M127)</f>
        <v>757</v>
      </c>
      <c r="N128" s="18"/>
    </row>
    <row r="129" spans="1:14" ht="7.5" customHeight="1" x14ac:dyDescent="0.35"/>
    <row r="130" spans="1:14" ht="19.5" customHeight="1" x14ac:dyDescent="0.35">
      <c r="A130" s="2" t="s">
        <v>0</v>
      </c>
      <c r="B130" s="2"/>
      <c r="C130" s="2"/>
      <c r="D130" s="5" t="s">
        <v>49</v>
      </c>
      <c r="E130" s="5"/>
      <c r="F130" s="5"/>
      <c r="G130" s="5"/>
      <c r="H130" s="4" t="s">
        <v>50</v>
      </c>
      <c r="I130" s="4"/>
      <c r="J130" s="4"/>
      <c r="K130" s="4"/>
      <c r="L130" s="4"/>
      <c r="M130" s="4"/>
      <c r="N130" s="4"/>
    </row>
    <row r="131" spans="1:14" ht="19.5" customHeight="1" x14ac:dyDescent="0.35">
      <c r="A131" s="2" t="s">
        <v>3</v>
      </c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27.75" customHeight="1" x14ac:dyDescent="0.35">
      <c r="A132" s="14" t="s">
        <v>4</v>
      </c>
      <c r="B132" s="14" t="s">
        <v>5</v>
      </c>
      <c r="C132" s="14" t="s">
        <v>6</v>
      </c>
      <c r="D132" s="14" t="s">
        <v>7</v>
      </c>
      <c r="E132" s="14" t="s">
        <v>8</v>
      </c>
      <c r="F132" s="14" t="s">
        <v>9</v>
      </c>
      <c r="G132" s="14" t="s">
        <v>10</v>
      </c>
      <c r="H132" s="14" t="s">
        <v>11</v>
      </c>
      <c r="I132" s="14" t="s">
        <v>12</v>
      </c>
      <c r="J132" s="14" t="s">
        <v>13</v>
      </c>
      <c r="K132" s="14" t="s">
        <v>14</v>
      </c>
      <c r="L132" s="14" t="s">
        <v>15</v>
      </c>
      <c r="M132" s="14" t="s">
        <v>16</v>
      </c>
      <c r="N132" s="14" t="s">
        <v>17</v>
      </c>
    </row>
    <row r="133" spans="1:14" ht="18" customHeight="1" x14ac:dyDescent="0.35">
      <c r="A133" s="15" t="s">
        <v>18</v>
      </c>
      <c r="B133" s="16">
        <v>1644</v>
      </c>
      <c r="C133" s="16">
        <v>1.9</v>
      </c>
      <c r="D133" s="16">
        <v>269.7</v>
      </c>
      <c r="E133" s="16">
        <v>194.6</v>
      </c>
      <c r="F133" s="16">
        <v>23</v>
      </c>
      <c r="G133" s="16">
        <v>340</v>
      </c>
      <c r="H133" s="16">
        <v>207</v>
      </c>
      <c r="I133" s="16">
        <v>536</v>
      </c>
      <c r="J133" s="16">
        <v>609</v>
      </c>
      <c r="K133" s="16">
        <v>712</v>
      </c>
      <c r="L133" s="16">
        <v>112</v>
      </c>
      <c r="M133" s="16">
        <v>787</v>
      </c>
      <c r="N133" s="16"/>
    </row>
    <row r="134" spans="1:14" ht="18" customHeight="1" x14ac:dyDescent="0.35">
      <c r="A134" s="10" t="s">
        <v>19</v>
      </c>
      <c r="B134" s="11">
        <v>1955</v>
      </c>
      <c r="C134" s="11">
        <v>3</v>
      </c>
      <c r="D134" s="11">
        <v>275.3</v>
      </c>
      <c r="E134" s="11">
        <v>172.7</v>
      </c>
      <c r="F134" s="11">
        <v>31.2</v>
      </c>
      <c r="G134" s="11">
        <v>309</v>
      </c>
      <c r="H134" s="11">
        <v>232</v>
      </c>
      <c r="I134" s="11">
        <v>502</v>
      </c>
      <c r="J134" s="11">
        <v>599</v>
      </c>
      <c r="K134" s="11">
        <v>679</v>
      </c>
      <c r="L134" s="11">
        <v>165</v>
      </c>
      <c r="M134" s="11">
        <v>767</v>
      </c>
      <c r="N134" s="11"/>
    </row>
    <row r="135" spans="1:14" ht="18" customHeight="1" x14ac:dyDescent="0.35">
      <c r="A135" s="15" t="s">
        <v>20</v>
      </c>
      <c r="B135" s="16">
        <v>1531</v>
      </c>
      <c r="C135" s="16">
        <v>2.4</v>
      </c>
      <c r="D135" s="16">
        <v>305.39999999999998</v>
      </c>
      <c r="E135" s="16">
        <v>143.5</v>
      </c>
      <c r="F135" s="16">
        <v>16.8</v>
      </c>
      <c r="G135" s="16">
        <v>315</v>
      </c>
      <c r="H135" s="16">
        <v>224</v>
      </c>
      <c r="I135" s="16">
        <v>443</v>
      </c>
      <c r="J135" s="16">
        <v>502</v>
      </c>
      <c r="K135" s="16">
        <v>584</v>
      </c>
      <c r="L135" s="16">
        <v>186</v>
      </c>
      <c r="M135" s="16">
        <v>702</v>
      </c>
      <c r="N135" s="16"/>
    </row>
    <row r="136" spans="1:14" ht="18" customHeight="1" x14ac:dyDescent="0.35">
      <c r="A136" s="10" t="s">
        <v>21</v>
      </c>
      <c r="B136" s="11">
        <v>2111</v>
      </c>
      <c r="C136" s="11">
        <v>2.6</v>
      </c>
      <c r="D136" s="11">
        <v>449.1</v>
      </c>
      <c r="E136" s="11">
        <v>163.80000000000001</v>
      </c>
      <c r="F136" s="11">
        <v>21.2</v>
      </c>
      <c r="G136" s="11">
        <v>282</v>
      </c>
      <c r="H136" s="11">
        <v>228</v>
      </c>
      <c r="I136" s="11">
        <v>471</v>
      </c>
      <c r="J136" s="11">
        <v>530</v>
      </c>
      <c r="K136" s="11">
        <v>622</v>
      </c>
      <c r="L136" s="11">
        <v>109</v>
      </c>
      <c r="M136" s="11">
        <v>698</v>
      </c>
      <c r="N136" s="11"/>
    </row>
    <row r="137" spans="1:14" ht="19.5" customHeight="1" x14ac:dyDescent="0.35">
      <c r="A137" s="17" t="s">
        <v>22</v>
      </c>
      <c r="B137" s="18">
        <f>SUM(B133:B136)</f>
        <v>7241</v>
      </c>
      <c r="C137" s="18">
        <f>AVERAGE(C133:C136)</f>
        <v>2.4750000000000001</v>
      </c>
      <c r="D137" s="18">
        <f>SUM(D133:D136)</f>
        <v>1299.5</v>
      </c>
      <c r="E137" s="18">
        <f>SUM(E133:E136)</f>
        <v>674.59999999999991</v>
      </c>
      <c r="F137" s="18">
        <f>SUM(F133:F136)</f>
        <v>92.2</v>
      </c>
      <c r="G137" s="18">
        <f>AVERAGE(G133:G136)</f>
        <v>311.5</v>
      </c>
      <c r="H137" s="18">
        <f>AVERAGE(H133:H136)</f>
        <v>222.75</v>
      </c>
      <c r="I137" s="18">
        <f>MAX(I133:I136)</f>
        <v>536</v>
      </c>
      <c r="J137" s="18">
        <f>MAX(J133:J136)</f>
        <v>609</v>
      </c>
      <c r="K137" s="18">
        <f>MAX(K133:K136)</f>
        <v>712</v>
      </c>
      <c r="L137" s="18">
        <f>MIN(L133:L136)</f>
        <v>109</v>
      </c>
      <c r="M137" s="18">
        <f>MAX(M133:M136)</f>
        <v>787</v>
      </c>
      <c r="N137" s="18"/>
    </row>
    <row r="138" spans="1:14" ht="7.5" customHeight="1" x14ac:dyDescent="0.35"/>
    <row r="139" spans="1:14" ht="19.5" customHeight="1" x14ac:dyDescent="0.35">
      <c r="A139" s="2" t="s">
        <v>0</v>
      </c>
      <c r="B139" s="2"/>
      <c r="C139" s="2"/>
      <c r="D139" s="5" t="s">
        <v>51</v>
      </c>
      <c r="E139" s="5"/>
      <c r="F139" s="5"/>
      <c r="G139" s="5"/>
      <c r="H139" s="4" t="s">
        <v>52</v>
      </c>
      <c r="I139" s="4"/>
      <c r="J139" s="4"/>
      <c r="K139" s="4"/>
      <c r="L139" s="4"/>
      <c r="M139" s="4"/>
      <c r="N139" s="4"/>
    </row>
    <row r="140" spans="1:14" ht="19.5" customHeight="1" x14ac:dyDescent="0.35">
      <c r="A140" s="2" t="s">
        <v>3</v>
      </c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27.75" customHeight="1" x14ac:dyDescent="0.35">
      <c r="A141" s="14" t="s">
        <v>4</v>
      </c>
      <c r="B141" s="14" t="s">
        <v>5</v>
      </c>
      <c r="C141" s="14" t="s">
        <v>6</v>
      </c>
      <c r="D141" s="14" t="s">
        <v>7</v>
      </c>
      <c r="E141" s="14" t="s">
        <v>8</v>
      </c>
      <c r="F141" s="14" t="s">
        <v>9</v>
      </c>
      <c r="G141" s="14" t="s">
        <v>10</v>
      </c>
      <c r="H141" s="14" t="s">
        <v>11</v>
      </c>
      <c r="I141" s="14" t="s">
        <v>12</v>
      </c>
      <c r="J141" s="14" t="s">
        <v>13</v>
      </c>
      <c r="K141" s="14" t="s">
        <v>14</v>
      </c>
      <c r="L141" s="14" t="s">
        <v>15</v>
      </c>
      <c r="M141" s="14" t="s">
        <v>16</v>
      </c>
      <c r="N141" s="14" t="s">
        <v>17</v>
      </c>
    </row>
    <row r="142" spans="1:14" ht="18" customHeight="1" x14ac:dyDescent="0.35">
      <c r="A142" s="15" t="s">
        <v>18</v>
      </c>
      <c r="B142" s="16">
        <v>1605</v>
      </c>
      <c r="C142" s="16">
        <v>2.2999999999999998</v>
      </c>
      <c r="D142" s="16">
        <v>258.2</v>
      </c>
      <c r="E142" s="16">
        <v>168.3</v>
      </c>
      <c r="F142" s="16">
        <v>20.100000000000001</v>
      </c>
      <c r="G142" s="16">
        <v>193</v>
      </c>
      <c r="H142" s="16">
        <v>159</v>
      </c>
      <c r="I142" s="16">
        <v>298</v>
      </c>
      <c r="J142" s="16">
        <v>356</v>
      </c>
      <c r="K142" s="16">
        <v>459</v>
      </c>
      <c r="L142" s="16">
        <v>197</v>
      </c>
      <c r="M142" s="16">
        <v>575</v>
      </c>
      <c r="N142" s="16"/>
    </row>
    <row r="143" spans="1:14" ht="18" customHeight="1" x14ac:dyDescent="0.35">
      <c r="A143" s="10" t="s">
        <v>19</v>
      </c>
      <c r="B143" s="11">
        <v>1529</v>
      </c>
      <c r="C143" s="11">
        <v>2.4</v>
      </c>
      <c r="D143" s="11">
        <v>277.10000000000002</v>
      </c>
      <c r="E143" s="11">
        <v>119</v>
      </c>
      <c r="F143" s="11">
        <v>19.899999999999999</v>
      </c>
      <c r="G143" s="11">
        <v>177</v>
      </c>
      <c r="H143" s="11">
        <v>159</v>
      </c>
      <c r="I143" s="11">
        <v>376</v>
      </c>
      <c r="J143" s="11">
        <v>418</v>
      </c>
      <c r="K143" s="11">
        <v>518</v>
      </c>
      <c r="L143" s="11">
        <v>104</v>
      </c>
      <c r="M143" s="11">
        <v>627</v>
      </c>
      <c r="N143" s="11"/>
    </row>
    <row r="144" spans="1:14" ht="18" customHeight="1" x14ac:dyDescent="0.35">
      <c r="A144" s="15" t="s">
        <v>20</v>
      </c>
      <c r="B144" s="16">
        <v>1495</v>
      </c>
      <c r="C144" s="16">
        <v>0.7</v>
      </c>
      <c r="D144" s="16">
        <v>289</v>
      </c>
      <c r="E144" s="16">
        <v>144.1</v>
      </c>
      <c r="F144" s="16">
        <v>23.7</v>
      </c>
      <c r="G144" s="16">
        <v>235</v>
      </c>
      <c r="H144" s="16">
        <v>151</v>
      </c>
      <c r="I144" s="16">
        <v>405</v>
      </c>
      <c r="J144" s="16">
        <v>478</v>
      </c>
      <c r="K144" s="16">
        <v>635</v>
      </c>
      <c r="L144" s="16">
        <v>174</v>
      </c>
      <c r="M144" s="16">
        <v>705</v>
      </c>
      <c r="N144" s="16"/>
    </row>
    <row r="145" spans="1:14" ht="18" customHeight="1" x14ac:dyDescent="0.35">
      <c r="A145" s="10" t="s">
        <v>21</v>
      </c>
      <c r="B145" s="11">
        <v>1465</v>
      </c>
      <c r="C145" s="11">
        <v>2.2000000000000002</v>
      </c>
      <c r="D145" s="11">
        <v>269.89999999999998</v>
      </c>
      <c r="E145" s="11">
        <v>175.6</v>
      </c>
      <c r="F145" s="11">
        <v>28.8</v>
      </c>
      <c r="G145" s="11">
        <v>357</v>
      </c>
      <c r="H145" s="11">
        <v>295</v>
      </c>
      <c r="I145" s="11">
        <v>532</v>
      </c>
      <c r="J145" s="11">
        <v>620</v>
      </c>
      <c r="K145" s="11">
        <v>768</v>
      </c>
      <c r="L145" s="11">
        <v>189</v>
      </c>
      <c r="M145" s="11">
        <v>902</v>
      </c>
      <c r="N145" s="11"/>
    </row>
    <row r="146" spans="1:14" ht="19.5" customHeight="1" x14ac:dyDescent="0.35">
      <c r="A146" s="17" t="s">
        <v>22</v>
      </c>
      <c r="B146" s="18">
        <f>SUM(B142:B145)</f>
        <v>6094</v>
      </c>
      <c r="C146" s="18">
        <f>AVERAGE(C142:C145)</f>
        <v>1.9</v>
      </c>
      <c r="D146" s="18">
        <f>SUM(D142:D145)</f>
        <v>1094.1999999999998</v>
      </c>
      <c r="E146" s="18">
        <f>SUM(E142:E145)</f>
        <v>607</v>
      </c>
      <c r="F146" s="18">
        <f>SUM(F142:F145)</f>
        <v>92.5</v>
      </c>
      <c r="G146" s="18">
        <f>AVERAGE(G142:G145)</f>
        <v>240.5</v>
      </c>
      <c r="H146" s="18">
        <f>AVERAGE(H142:H145)</f>
        <v>191</v>
      </c>
      <c r="I146" s="18">
        <f>MAX(I142:I145)</f>
        <v>532</v>
      </c>
      <c r="J146" s="18">
        <f>MAX(J142:J145)</f>
        <v>620</v>
      </c>
      <c r="K146" s="18">
        <f>MAX(K142:K145)</f>
        <v>768</v>
      </c>
      <c r="L146" s="18">
        <f>MIN(L142:L145)</f>
        <v>104</v>
      </c>
      <c r="M146" s="18">
        <f>MAX(M142:M145)</f>
        <v>902</v>
      </c>
      <c r="N146" s="18"/>
    </row>
    <row r="147" spans="1:14" ht="7.5" customHeight="1" x14ac:dyDescent="0.35"/>
    <row r="148" spans="1:14" ht="19.5" customHeight="1" x14ac:dyDescent="0.35">
      <c r="A148" s="2" t="s">
        <v>0</v>
      </c>
      <c r="B148" s="2"/>
      <c r="C148" s="2"/>
      <c r="D148" s="5" t="s">
        <v>53</v>
      </c>
      <c r="E148" s="5"/>
      <c r="F148" s="5"/>
      <c r="G148" s="5"/>
      <c r="H148" s="4" t="s">
        <v>54</v>
      </c>
      <c r="I148" s="4"/>
      <c r="J148" s="4"/>
      <c r="K148" s="4"/>
      <c r="L148" s="4"/>
      <c r="M148" s="4"/>
      <c r="N148" s="4"/>
    </row>
    <row r="149" spans="1:14" ht="19.5" customHeight="1" x14ac:dyDescent="0.35">
      <c r="A149" s="2" t="s">
        <v>3</v>
      </c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27.75" customHeight="1" x14ac:dyDescent="0.35">
      <c r="A150" s="14" t="s">
        <v>4</v>
      </c>
      <c r="B150" s="14" t="s">
        <v>5</v>
      </c>
      <c r="C150" s="14" t="s">
        <v>6</v>
      </c>
      <c r="D150" s="14" t="s">
        <v>7</v>
      </c>
      <c r="E150" s="14" t="s">
        <v>8</v>
      </c>
      <c r="F150" s="14" t="s">
        <v>9</v>
      </c>
      <c r="G150" s="14" t="s">
        <v>10</v>
      </c>
      <c r="H150" s="14" t="s">
        <v>11</v>
      </c>
      <c r="I150" s="14" t="s">
        <v>12</v>
      </c>
      <c r="J150" s="14" t="s">
        <v>13</v>
      </c>
      <c r="K150" s="14" t="s">
        <v>14</v>
      </c>
      <c r="L150" s="14" t="s">
        <v>15</v>
      </c>
      <c r="M150" s="14" t="s">
        <v>16</v>
      </c>
      <c r="N150" s="14" t="s">
        <v>17</v>
      </c>
    </row>
    <row r="151" spans="1:14" ht="18" customHeight="1" x14ac:dyDescent="0.35">
      <c r="A151" s="15" t="s">
        <v>18</v>
      </c>
      <c r="B151" s="16">
        <v>1914</v>
      </c>
      <c r="C151" s="16">
        <v>2.4</v>
      </c>
      <c r="D151" s="16">
        <v>355.5</v>
      </c>
      <c r="E151" s="16">
        <v>142.9</v>
      </c>
      <c r="F151" s="16">
        <v>27.5</v>
      </c>
      <c r="G151" s="16">
        <v>360</v>
      </c>
      <c r="H151" s="16">
        <v>223</v>
      </c>
      <c r="I151" s="16">
        <v>515</v>
      </c>
      <c r="J151" s="16">
        <v>576</v>
      </c>
      <c r="K151" s="16">
        <v>692</v>
      </c>
      <c r="L151" s="16">
        <v>160</v>
      </c>
      <c r="M151" s="16">
        <v>747</v>
      </c>
      <c r="N151" s="16"/>
    </row>
    <row r="152" spans="1:14" ht="18" customHeight="1" x14ac:dyDescent="0.35">
      <c r="A152" s="10" t="s">
        <v>19</v>
      </c>
      <c r="B152" s="11">
        <v>1336</v>
      </c>
      <c r="C152" s="11">
        <v>0.7</v>
      </c>
      <c r="D152" s="11">
        <v>406.4</v>
      </c>
      <c r="E152" s="11">
        <v>146.5</v>
      </c>
      <c r="F152" s="11">
        <v>17.3</v>
      </c>
      <c r="G152" s="11">
        <v>198</v>
      </c>
      <c r="H152" s="11">
        <v>158</v>
      </c>
      <c r="I152" s="11">
        <v>303</v>
      </c>
      <c r="J152" s="11">
        <v>360</v>
      </c>
      <c r="K152" s="11">
        <v>482</v>
      </c>
      <c r="L152" s="11">
        <v>150</v>
      </c>
      <c r="M152" s="11">
        <v>572</v>
      </c>
      <c r="N152" s="11"/>
    </row>
    <row r="153" spans="1:14" ht="18" customHeight="1" x14ac:dyDescent="0.35">
      <c r="A153" s="15" t="s">
        <v>20</v>
      </c>
      <c r="B153" s="16">
        <v>2023</v>
      </c>
      <c r="C153" s="16">
        <v>3.2</v>
      </c>
      <c r="D153" s="16">
        <v>360.6</v>
      </c>
      <c r="E153" s="16">
        <v>194.1</v>
      </c>
      <c r="F153" s="16">
        <v>27.3</v>
      </c>
      <c r="G153" s="16">
        <v>285</v>
      </c>
      <c r="H153" s="16">
        <v>232</v>
      </c>
      <c r="I153" s="16">
        <v>474</v>
      </c>
      <c r="J153" s="16">
        <v>559</v>
      </c>
      <c r="K153" s="16">
        <v>686</v>
      </c>
      <c r="L153" s="16">
        <v>147</v>
      </c>
      <c r="M153" s="16">
        <v>777</v>
      </c>
      <c r="N153" s="16"/>
    </row>
    <row r="154" spans="1:14" ht="18" customHeight="1" x14ac:dyDescent="0.35">
      <c r="A154" s="10" t="s">
        <v>21</v>
      </c>
      <c r="B154" s="11">
        <v>1222</v>
      </c>
      <c r="C154" s="11">
        <v>2.9</v>
      </c>
      <c r="D154" s="11">
        <v>252.7</v>
      </c>
      <c r="E154" s="11">
        <v>188.6</v>
      </c>
      <c r="F154" s="11">
        <v>24</v>
      </c>
      <c r="G154" s="11">
        <v>324</v>
      </c>
      <c r="H154" s="11">
        <v>153</v>
      </c>
      <c r="I154" s="11">
        <v>493</v>
      </c>
      <c r="J154" s="11">
        <v>540</v>
      </c>
      <c r="K154" s="11">
        <v>625</v>
      </c>
      <c r="L154" s="11">
        <v>145</v>
      </c>
      <c r="M154" s="11">
        <v>721</v>
      </c>
      <c r="N154" s="11"/>
    </row>
    <row r="155" spans="1:14" ht="19.5" customHeight="1" x14ac:dyDescent="0.35">
      <c r="A155" s="17" t="s">
        <v>22</v>
      </c>
      <c r="B155" s="18">
        <f>SUM(B151:B154)</f>
        <v>6495</v>
      </c>
      <c r="C155" s="18">
        <f>AVERAGE(C151:C154)</f>
        <v>2.2999999999999998</v>
      </c>
      <c r="D155" s="18">
        <f>SUM(D151:D154)</f>
        <v>1375.2</v>
      </c>
      <c r="E155" s="18">
        <f>SUM(E151:E154)</f>
        <v>672.1</v>
      </c>
      <c r="F155" s="18">
        <f>SUM(F151:F154)</f>
        <v>96.1</v>
      </c>
      <c r="G155" s="18">
        <f>AVERAGE(G151:G154)</f>
        <v>291.75</v>
      </c>
      <c r="H155" s="18">
        <f>AVERAGE(H151:H154)</f>
        <v>191.5</v>
      </c>
      <c r="I155" s="18">
        <f>MAX(I151:I154)</f>
        <v>515</v>
      </c>
      <c r="J155" s="18">
        <f>MAX(J151:J154)</f>
        <v>576</v>
      </c>
      <c r="K155" s="18">
        <f>MAX(K151:K154)</f>
        <v>692</v>
      </c>
      <c r="L155" s="18">
        <f>MIN(L151:L154)</f>
        <v>145</v>
      </c>
      <c r="M155" s="18">
        <f>MAX(M151:M154)</f>
        <v>777</v>
      </c>
      <c r="N155" s="18"/>
    </row>
    <row r="156" spans="1:14" ht="7.5" customHeight="1" x14ac:dyDescent="0.35"/>
    <row r="157" spans="1:14" ht="19.5" customHeight="1" x14ac:dyDescent="0.35">
      <c r="A157" s="2" t="s">
        <v>0</v>
      </c>
      <c r="B157" s="2"/>
      <c r="C157" s="2"/>
      <c r="D157" s="5" t="s">
        <v>55</v>
      </c>
      <c r="E157" s="5"/>
      <c r="F157" s="5"/>
      <c r="G157" s="5"/>
      <c r="H157" s="4" t="s">
        <v>56</v>
      </c>
      <c r="I157" s="4"/>
      <c r="J157" s="4"/>
      <c r="K157" s="4"/>
      <c r="L157" s="4"/>
      <c r="M157" s="4"/>
      <c r="N157" s="4"/>
    </row>
    <row r="158" spans="1:14" ht="19.5" customHeight="1" x14ac:dyDescent="0.35">
      <c r="A158" s="2" t="s">
        <v>3</v>
      </c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27.75" customHeight="1" x14ac:dyDescent="0.35">
      <c r="A159" s="14" t="s">
        <v>4</v>
      </c>
      <c r="B159" s="14" t="s">
        <v>5</v>
      </c>
      <c r="C159" s="14" t="s">
        <v>6</v>
      </c>
      <c r="D159" s="14" t="s">
        <v>7</v>
      </c>
      <c r="E159" s="14" t="s">
        <v>8</v>
      </c>
      <c r="F159" s="14" t="s">
        <v>9</v>
      </c>
      <c r="G159" s="14" t="s">
        <v>10</v>
      </c>
      <c r="H159" s="14" t="s">
        <v>11</v>
      </c>
      <c r="I159" s="14" t="s">
        <v>12</v>
      </c>
      <c r="J159" s="14" t="s">
        <v>13</v>
      </c>
      <c r="K159" s="14" t="s">
        <v>14</v>
      </c>
      <c r="L159" s="14" t="s">
        <v>15</v>
      </c>
      <c r="M159" s="14" t="s">
        <v>16</v>
      </c>
      <c r="N159" s="14" t="s">
        <v>17</v>
      </c>
    </row>
    <row r="160" spans="1:14" ht="18" customHeight="1" x14ac:dyDescent="0.35">
      <c r="A160" s="15" t="s">
        <v>18</v>
      </c>
      <c r="B160" s="16">
        <v>1695</v>
      </c>
      <c r="C160" s="16">
        <v>0.6</v>
      </c>
      <c r="D160" s="16">
        <v>378.3</v>
      </c>
      <c r="E160" s="16">
        <v>168.9</v>
      </c>
      <c r="F160" s="16">
        <v>30.3</v>
      </c>
      <c r="G160" s="16">
        <v>204</v>
      </c>
      <c r="H160" s="16">
        <v>173</v>
      </c>
      <c r="I160" s="16">
        <v>347</v>
      </c>
      <c r="J160" s="16">
        <v>447</v>
      </c>
      <c r="K160" s="16">
        <v>576</v>
      </c>
      <c r="L160" s="16">
        <v>170</v>
      </c>
      <c r="M160" s="16">
        <v>684</v>
      </c>
      <c r="N160" s="16"/>
    </row>
    <row r="161" spans="1:14" ht="18" customHeight="1" x14ac:dyDescent="0.35">
      <c r="A161" s="10" t="s">
        <v>19</v>
      </c>
      <c r="B161" s="11">
        <v>2040</v>
      </c>
      <c r="C161" s="11">
        <v>3.1</v>
      </c>
      <c r="D161" s="11">
        <v>389.3</v>
      </c>
      <c r="E161" s="11">
        <v>184.6</v>
      </c>
      <c r="F161" s="11">
        <v>27.7</v>
      </c>
      <c r="G161" s="11">
        <v>316</v>
      </c>
      <c r="H161" s="11">
        <v>240</v>
      </c>
      <c r="I161" s="11">
        <v>483</v>
      </c>
      <c r="J161" s="11">
        <v>524</v>
      </c>
      <c r="K161" s="11">
        <v>626</v>
      </c>
      <c r="L161" s="11">
        <v>191</v>
      </c>
      <c r="M161" s="11">
        <v>745</v>
      </c>
      <c r="N161" s="11"/>
    </row>
    <row r="162" spans="1:14" ht="18" customHeight="1" x14ac:dyDescent="0.35">
      <c r="A162" s="15" t="s">
        <v>20</v>
      </c>
      <c r="B162" s="16">
        <v>1567</v>
      </c>
      <c r="C162" s="16">
        <v>1.5</v>
      </c>
      <c r="D162" s="16">
        <v>361</v>
      </c>
      <c r="E162" s="16">
        <v>152.6</v>
      </c>
      <c r="F162" s="16">
        <v>17.399999999999999</v>
      </c>
      <c r="G162" s="16">
        <v>263</v>
      </c>
      <c r="H162" s="16">
        <v>261</v>
      </c>
      <c r="I162" s="16">
        <v>458</v>
      </c>
      <c r="J162" s="16">
        <v>501</v>
      </c>
      <c r="K162" s="16">
        <v>584</v>
      </c>
      <c r="L162" s="16">
        <v>152</v>
      </c>
      <c r="M162" s="16">
        <v>705</v>
      </c>
      <c r="N162" s="16"/>
    </row>
    <row r="163" spans="1:14" ht="18" customHeight="1" x14ac:dyDescent="0.35">
      <c r="A163" s="10" t="s">
        <v>21</v>
      </c>
      <c r="B163" s="11">
        <v>1571</v>
      </c>
      <c r="C163" s="11">
        <v>0.5</v>
      </c>
      <c r="D163" s="11">
        <v>326.60000000000002</v>
      </c>
      <c r="E163" s="11">
        <v>147.69999999999999</v>
      </c>
      <c r="F163" s="11">
        <v>27.9</v>
      </c>
      <c r="G163" s="11">
        <v>297</v>
      </c>
      <c r="H163" s="11">
        <v>272</v>
      </c>
      <c r="I163" s="11">
        <v>463</v>
      </c>
      <c r="J163" s="11">
        <v>518</v>
      </c>
      <c r="K163" s="11">
        <v>613</v>
      </c>
      <c r="L163" s="11">
        <v>128</v>
      </c>
      <c r="M163" s="11">
        <v>721</v>
      </c>
      <c r="N163" s="11"/>
    </row>
    <row r="164" spans="1:14" ht="19.5" customHeight="1" x14ac:dyDescent="0.35">
      <c r="A164" s="17" t="s">
        <v>22</v>
      </c>
      <c r="B164" s="18">
        <f>SUM(B160:B163)</f>
        <v>6873</v>
      </c>
      <c r="C164" s="18">
        <f>AVERAGE(C160:C163)</f>
        <v>1.425</v>
      </c>
      <c r="D164" s="18">
        <f>SUM(D160:D163)</f>
        <v>1455.1999999999998</v>
      </c>
      <c r="E164" s="18">
        <f>SUM(E160:E163)</f>
        <v>653.79999999999995</v>
      </c>
      <c r="F164" s="18">
        <f>SUM(F160:F163)</f>
        <v>103.30000000000001</v>
      </c>
      <c r="G164" s="18">
        <f>AVERAGE(G160:G163)</f>
        <v>270</v>
      </c>
      <c r="H164" s="18">
        <f>AVERAGE(H160:H163)</f>
        <v>236.5</v>
      </c>
      <c r="I164" s="18">
        <f>MAX(I160:I163)</f>
        <v>483</v>
      </c>
      <c r="J164" s="18">
        <f>MAX(J160:J163)</f>
        <v>524</v>
      </c>
      <c r="K164" s="18">
        <f>MAX(K160:K163)</f>
        <v>626</v>
      </c>
      <c r="L164" s="18">
        <f>MIN(L160:L163)</f>
        <v>128</v>
      </c>
      <c r="M164" s="18">
        <f>MAX(M160:M163)</f>
        <v>745</v>
      </c>
      <c r="N164" s="18"/>
    </row>
    <row r="165" spans="1:14" ht="7.5" customHeight="1" x14ac:dyDescent="0.35"/>
    <row r="166" spans="1:14" ht="19.5" customHeight="1" x14ac:dyDescent="0.35">
      <c r="A166" s="2" t="s">
        <v>0</v>
      </c>
      <c r="B166" s="2"/>
      <c r="C166" s="2"/>
      <c r="D166" s="5" t="s">
        <v>57</v>
      </c>
      <c r="E166" s="5"/>
      <c r="F166" s="5"/>
      <c r="G166" s="5"/>
      <c r="H166" s="4" t="s">
        <v>58</v>
      </c>
      <c r="I166" s="4"/>
      <c r="J166" s="4"/>
      <c r="K166" s="4"/>
      <c r="L166" s="4"/>
      <c r="M166" s="4"/>
      <c r="N166" s="4"/>
    </row>
    <row r="167" spans="1:14" ht="19.5" customHeight="1" x14ac:dyDescent="0.35">
      <c r="A167" s="2" t="s">
        <v>3</v>
      </c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27.75" customHeight="1" x14ac:dyDescent="0.35">
      <c r="A168" s="14" t="s">
        <v>4</v>
      </c>
      <c r="B168" s="14" t="s">
        <v>5</v>
      </c>
      <c r="C168" s="14" t="s">
        <v>6</v>
      </c>
      <c r="D168" s="14" t="s">
        <v>7</v>
      </c>
      <c r="E168" s="14" t="s">
        <v>8</v>
      </c>
      <c r="F168" s="14" t="s">
        <v>9</v>
      </c>
      <c r="G168" s="14" t="s">
        <v>10</v>
      </c>
      <c r="H168" s="14" t="s">
        <v>11</v>
      </c>
      <c r="I168" s="14" t="s">
        <v>12</v>
      </c>
      <c r="J168" s="14" t="s">
        <v>13</v>
      </c>
      <c r="K168" s="14" t="s">
        <v>14</v>
      </c>
      <c r="L168" s="14" t="s">
        <v>15</v>
      </c>
      <c r="M168" s="14" t="s">
        <v>16</v>
      </c>
      <c r="N168" s="14" t="s">
        <v>17</v>
      </c>
    </row>
    <row r="169" spans="1:14" ht="18" customHeight="1" x14ac:dyDescent="0.35">
      <c r="A169" s="15" t="s">
        <v>18</v>
      </c>
      <c r="B169" s="16">
        <v>1898</v>
      </c>
      <c r="C169" s="16">
        <v>2.9</v>
      </c>
      <c r="D169" s="16">
        <v>284.89999999999998</v>
      </c>
      <c r="E169" s="16">
        <v>133.1</v>
      </c>
      <c r="F169" s="16">
        <v>29.5</v>
      </c>
      <c r="G169" s="16">
        <v>301</v>
      </c>
      <c r="H169" s="16">
        <v>202</v>
      </c>
      <c r="I169" s="16">
        <v>411</v>
      </c>
      <c r="J169" s="16">
        <v>504</v>
      </c>
      <c r="K169" s="16">
        <v>597</v>
      </c>
      <c r="L169" s="16">
        <v>134</v>
      </c>
      <c r="M169" s="16">
        <v>676</v>
      </c>
      <c r="N169" s="16"/>
    </row>
    <row r="170" spans="1:14" ht="18" customHeight="1" x14ac:dyDescent="0.35">
      <c r="A170" s="10" t="s">
        <v>19</v>
      </c>
      <c r="B170" s="11">
        <v>1910</v>
      </c>
      <c r="C170" s="11">
        <v>3.4</v>
      </c>
      <c r="D170" s="11">
        <v>252.9</v>
      </c>
      <c r="E170" s="11">
        <v>203.3</v>
      </c>
      <c r="F170" s="11">
        <v>19</v>
      </c>
      <c r="G170" s="11">
        <v>315</v>
      </c>
      <c r="H170" s="11">
        <v>208</v>
      </c>
      <c r="I170" s="11">
        <v>510</v>
      </c>
      <c r="J170" s="11">
        <v>568</v>
      </c>
      <c r="K170" s="11">
        <v>662</v>
      </c>
      <c r="L170" s="11">
        <v>161</v>
      </c>
      <c r="M170" s="11">
        <v>753</v>
      </c>
      <c r="N170" s="11"/>
    </row>
    <row r="171" spans="1:14" ht="18" customHeight="1" x14ac:dyDescent="0.35">
      <c r="A171" s="15" t="s">
        <v>20</v>
      </c>
      <c r="B171" s="16">
        <v>1423</v>
      </c>
      <c r="C171" s="16">
        <v>0.8</v>
      </c>
      <c r="D171" s="16">
        <v>434</v>
      </c>
      <c r="E171" s="16">
        <v>158.5</v>
      </c>
      <c r="F171" s="16">
        <v>25.7</v>
      </c>
      <c r="G171" s="16">
        <v>316</v>
      </c>
      <c r="H171" s="16">
        <v>235</v>
      </c>
      <c r="I171" s="16">
        <v>455</v>
      </c>
      <c r="J171" s="16">
        <v>501</v>
      </c>
      <c r="K171" s="16">
        <v>645</v>
      </c>
      <c r="L171" s="16">
        <v>157</v>
      </c>
      <c r="M171" s="16">
        <v>789</v>
      </c>
      <c r="N171" s="16"/>
    </row>
    <row r="172" spans="1:14" ht="18" customHeight="1" x14ac:dyDescent="0.35">
      <c r="A172" s="10" t="s">
        <v>21</v>
      </c>
      <c r="B172" s="11">
        <v>1477</v>
      </c>
      <c r="C172" s="11">
        <v>1.7</v>
      </c>
      <c r="D172" s="11">
        <v>257.2</v>
      </c>
      <c r="E172" s="11">
        <v>183.5</v>
      </c>
      <c r="F172" s="11">
        <v>15.9</v>
      </c>
      <c r="G172" s="11">
        <v>176</v>
      </c>
      <c r="H172" s="11">
        <v>174</v>
      </c>
      <c r="I172" s="11">
        <v>373</v>
      </c>
      <c r="J172" s="11">
        <v>420</v>
      </c>
      <c r="K172" s="11">
        <v>527</v>
      </c>
      <c r="L172" s="11">
        <v>120</v>
      </c>
      <c r="M172" s="11">
        <v>622</v>
      </c>
      <c r="N172" s="11"/>
    </row>
    <row r="173" spans="1:14" ht="19.5" customHeight="1" x14ac:dyDescent="0.35">
      <c r="A173" s="17" t="s">
        <v>22</v>
      </c>
      <c r="B173" s="18">
        <f>SUM(B169:B172)</f>
        <v>6708</v>
      </c>
      <c r="C173" s="18">
        <f>AVERAGE(C169:C172)</f>
        <v>2.1999999999999997</v>
      </c>
      <c r="D173" s="18">
        <f>SUM(D169:D172)</f>
        <v>1229</v>
      </c>
      <c r="E173" s="18">
        <f>SUM(E169:E172)</f>
        <v>678.4</v>
      </c>
      <c r="F173" s="18">
        <f>SUM(F169:F172)</f>
        <v>90.100000000000009</v>
      </c>
      <c r="G173" s="18">
        <f>AVERAGE(G169:G172)</f>
        <v>277</v>
      </c>
      <c r="H173" s="18">
        <f>AVERAGE(H169:H172)</f>
        <v>204.75</v>
      </c>
      <c r="I173" s="18">
        <f>MAX(I169:I172)</f>
        <v>510</v>
      </c>
      <c r="J173" s="18">
        <f>MAX(J169:J172)</f>
        <v>568</v>
      </c>
      <c r="K173" s="18">
        <f>MAX(K169:K172)</f>
        <v>662</v>
      </c>
      <c r="L173" s="18">
        <f>MIN(L169:L172)</f>
        <v>120</v>
      </c>
      <c r="M173" s="18">
        <f>MAX(M169:M172)</f>
        <v>789</v>
      </c>
      <c r="N173" s="18"/>
    </row>
    <row r="174" spans="1:14" ht="7.5" customHeight="1" x14ac:dyDescent="0.35"/>
    <row r="175" spans="1:14" ht="19.5" customHeight="1" x14ac:dyDescent="0.35">
      <c r="A175" s="2" t="s">
        <v>0</v>
      </c>
      <c r="B175" s="2"/>
      <c r="C175" s="2"/>
      <c r="D175" s="5" t="s">
        <v>59</v>
      </c>
      <c r="E175" s="5"/>
      <c r="F175" s="5"/>
      <c r="G175" s="5"/>
      <c r="H175" s="4" t="s">
        <v>60</v>
      </c>
      <c r="I175" s="4"/>
      <c r="J175" s="4"/>
      <c r="K175" s="4"/>
      <c r="L175" s="4"/>
      <c r="M175" s="4"/>
      <c r="N175" s="4"/>
    </row>
    <row r="176" spans="1:14" ht="19.5" customHeight="1" x14ac:dyDescent="0.35">
      <c r="A176" s="2" t="s">
        <v>3</v>
      </c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27.75" customHeight="1" x14ac:dyDescent="0.35">
      <c r="A177" s="14" t="s">
        <v>4</v>
      </c>
      <c r="B177" s="14" t="s">
        <v>5</v>
      </c>
      <c r="C177" s="14" t="s">
        <v>6</v>
      </c>
      <c r="D177" s="14" t="s">
        <v>7</v>
      </c>
      <c r="E177" s="14" t="s">
        <v>8</v>
      </c>
      <c r="F177" s="14" t="s">
        <v>9</v>
      </c>
      <c r="G177" s="14" t="s">
        <v>10</v>
      </c>
      <c r="H177" s="14" t="s">
        <v>11</v>
      </c>
      <c r="I177" s="14" t="s">
        <v>12</v>
      </c>
      <c r="J177" s="14" t="s">
        <v>13</v>
      </c>
      <c r="K177" s="14" t="s">
        <v>14</v>
      </c>
      <c r="L177" s="14" t="s">
        <v>15</v>
      </c>
      <c r="M177" s="14" t="s">
        <v>16</v>
      </c>
      <c r="N177" s="14" t="s">
        <v>17</v>
      </c>
    </row>
    <row r="178" spans="1:14" ht="18" customHeight="1" x14ac:dyDescent="0.35">
      <c r="A178" s="15" t="s">
        <v>18</v>
      </c>
      <c r="B178" s="16">
        <v>2084</v>
      </c>
      <c r="C178" s="16">
        <v>2.2999999999999998</v>
      </c>
      <c r="D178" s="16">
        <v>257.39999999999998</v>
      </c>
      <c r="E178" s="16">
        <v>205.4</v>
      </c>
      <c r="F178" s="16">
        <v>17.5</v>
      </c>
      <c r="G178" s="16">
        <v>354</v>
      </c>
      <c r="H178" s="16">
        <v>284</v>
      </c>
      <c r="I178" s="16">
        <v>536</v>
      </c>
      <c r="J178" s="16">
        <v>627</v>
      </c>
      <c r="K178" s="16">
        <v>748</v>
      </c>
      <c r="L178" s="16">
        <v>104</v>
      </c>
      <c r="M178" s="16">
        <v>845</v>
      </c>
      <c r="N178" s="16"/>
    </row>
    <row r="179" spans="1:14" ht="18" customHeight="1" x14ac:dyDescent="0.35">
      <c r="A179" s="10" t="s">
        <v>19</v>
      </c>
      <c r="B179" s="11">
        <v>1315</v>
      </c>
      <c r="C179" s="11">
        <v>1.2</v>
      </c>
      <c r="D179" s="11">
        <v>403.3</v>
      </c>
      <c r="E179" s="11">
        <v>156.80000000000001</v>
      </c>
      <c r="F179" s="11">
        <v>28.4</v>
      </c>
      <c r="G179" s="11">
        <v>299</v>
      </c>
      <c r="H179" s="11">
        <v>191</v>
      </c>
      <c r="I179" s="11">
        <v>466</v>
      </c>
      <c r="J179" s="11">
        <v>521</v>
      </c>
      <c r="K179" s="11">
        <v>632</v>
      </c>
      <c r="L179" s="11">
        <v>171</v>
      </c>
      <c r="M179" s="11">
        <v>782</v>
      </c>
      <c r="N179" s="11"/>
    </row>
    <row r="180" spans="1:14" ht="18" customHeight="1" x14ac:dyDescent="0.35">
      <c r="A180" s="15" t="s">
        <v>20</v>
      </c>
      <c r="B180" s="16">
        <v>2059</v>
      </c>
      <c r="C180" s="16">
        <v>0.5</v>
      </c>
      <c r="D180" s="16">
        <v>420.4</v>
      </c>
      <c r="E180" s="16">
        <v>173.2</v>
      </c>
      <c r="F180" s="16">
        <v>21.9</v>
      </c>
      <c r="G180" s="16">
        <v>318</v>
      </c>
      <c r="H180" s="16">
        <v>172</v>
      </c>
      <c r="I180" s="16">
        <v>463</v>
      </c>
      <c r="J180" s="16">
        <v>557</v>
      </c>
      <c r="K180" s="16">
        <v>675</v>
      </c>
      <c r="L180" s="16">
        <v>102</v>
      </c>
      <c r="M180" s="16">
        <v>733</v>
      </c>
      <c r="N180" s="16"/>
    </row>
    <row r="181" spans="1:14" ht="18" customHeight="1" x14ac:dyDescent="0.35">
      <c r="A181" s="10" t="s">
        <v>21</v>
      </c>
      <c r="B181" s="11">
        <v>1708</v>
      </c>
      <c r="C181" s="11">
        <v>2.5</v>
      </c>
      <c r="D181" s="11">
        <v>445.5</v>
      </c>
      <c r="E181" s="11">
        <v>126.5</v>
      </c>
      <c r="F181" s="11">
        <v>19</v>
      </c>
      <c r="G181" s="11">
        <v>176</v>
      </c>
      <c r="H181" s="11">
        <v>170</v>
      </c>
      <c r="I181" s="11">
        <v>300</v>
      </c>
      <c r="J181" s="11">
        <v>377</v>
      </c>
      <c r="K181" s="11">
        <v>537</v>
      </c>
      <c r="L181" s="11">
        <v>106</v>
      </c>
      <c r="M181" s="11">
        <v>675</v>
      </c>
      <c r="N181" s="11"/>
    </row>
    <row r="182" spans="1:14" ht="19.5" customHeight="1" x14ac:dyDescent="0.35">
      <c r="A182" s="17" t="s">
        <v>22</v>
      </c>
      <c r="B182" s="18">
        <f>SUM(B178:B181)</f>
        <v>7166</v>
      </c>
      <c r="C182" s="18">
        <f>AVERAGE(C178:C181)</f>
        <v>1.625</v>
      </c>
      <c r="D182" s="18">
        <f>SUM(D178:D181)</f>
        <v>1526.6</v>
      </c>
      <c r="E182" s="18">
        <f>SUM(E178:E181)</f>
        <v>661.90000000000009</v>
      </c>
      <c r="F182" s="18">
        <f>SUM(F178:F181)</f>
        <v>86.8</v>
      </c>
      <c r="G182" s="18">
        <f>AVERAGE(G178:G181)</f>
        <v>286.75</v>
      </c>
      <c r="H182" s="18">
        <f>AVERAGE(H178:H181)</f>
        <v>204.25</v>
      </c>
      <c r="I182" s="18">
        <f>MAX(I178:I181)</f>
        <v>536</v>
      </c>
      <c r="J182" s="18">
        <f>MAX(J178:J181)</f>
        <v>627</v>
      </c>
      <c r="K182" s="18">
        <f>MAX(K178:K181)</f>
        <v>748</v>
      </c>
      <c r="L182" s="18">
        <f>MIN(L178:L181)</f>
        <v>102</v>
      </c>
      <c r="M182" s="18">
        <f>MAX(M178:M181)</f>
        <v>845</v>
      </c>
      <c r="N182" s="18"/>
    </row>
    <row r="183" spans="1:14" ht="7.5" customHeight="1" x14ac:dyDescent="0.35"/>
  </sheetData>
  <mergeCells count="100">
    <mergeCell ref="A175:C175"/>
    <mergeCell ref="D175:G175"/>
    <mergeCell ref="H175:N175"/>
    <mergeCell ref="A176:C176"/>
    <mergeCell ref="D176:N176"/>
    <mergeCell ref="A166:C166"/>
    <mergeCell ref="D166:G166"/>
    <mergeCell ref="H166:N166"/>
    <mergeCell ref="A167:C167"/>
    <mergeCell ref="D167:N167"/>
    <mergeCell ref="A157:C157"/>
    <mergeCell ref="D157:G157"/>
    <mergeCell ref="H157:N157"/>
    <mergeCell ref="A158:C158"/>
    <mergeCell ref="D158:N158"/>
    <mergeCell ref="A148:C148"/>
    <mergeCell ref="D148:G148"/>
    <mergeCell ref="H148:N148"/>
    <mergeCell ref="A149:C149"/>
    <mergeCell ref="D149:N149"/>
    <mergeCell ref="A139:C139"/>
    <mergeCell ref="D139:G139"/>
    <mergeCell ref="H139:N139"/>
    <mergeCell ref="A140:C140"/>
    <mergeCell ref="D140:N140"/>
    <mergeCell ref="A130:C130"/>
    <mergeCell ref="D130:G130"/>
    <mergeCell ref="H130:N130"/>
    <mergeCell ref="A131:C131"/>
    <mergeCell ref="D131:N131"/>
    <mergeCell ref="A121:C121"/>
    <mergeCell ref="D121:G121"/>
    <mergeCell ref="H121:N121"/>
    <mergeCell ref="A122:C122"/>
    <mergeCell ref="D122:N122"/>
    <mergeCell ref="A112:C112"/>
    <mergeCell ref="D112:G112"/>
    <mergeCell ref="H112:N112"/>
    <mergeCell ref="A113:C113"/>
    <mergeCell ref="D113:N113"/>
    <mergeCell ref="A103:C103"/>
    <mergeCell ref="D103:G103"/>
    <mergeCell ref="H103:N103"/>
    <mergeCell ref="A104:C104"/>
    <mergeCell ref="D104:N104"/>
    <mergeCell ref="A94:C94"/>
    <mergeCell ref="D94:G94"/>
    <mergeCell ref="H94:N94"/>
    <mergeCell ref="A95:C95"/>
    <mergeCell ref="D95:N95"/>
    <mergeCell ref="A85:C85"/>
    <mergeCell ref="D85:G85"/>
    <mergeCell ref="H85:N85"/>
    <mergeCell ref="A86:C86"/>
    <mergeCell ref="D86:N86"/>
    <mergeCell ref="A76:C76"/>
    <mergeCell ref="D76:G76"/>
    <mergeCell ref="H76:N76"/>
    <mergeCell ref="A77:C77"/>
    <mergeCell ref="D77:N77"/>
    <mergeCell ref="A67:C67"/>
    <mergeCell ref="D67:G67"/>
    <mergeCell ref="H67:N67"/>
    <mergeCell ref="A68:C68"/>
    <mergeCell ref="D68:N68"/>
    <mergeCell ref="A58:C58"/>
    <mergeCell ref="D58:G58"/>
    <mergeCell ref="H58:N58"/>
    <mergeCell ref="A59:C59"/>
    <mergeCell ref="D59:N59"/>
    <mergeCell ref="A49:C49"/>
    <mergeCell ref="D49:G49"/>
    <mergeCell ref="H49:N49"/>
    <mergeCell ref="A50:C50"/>
    <mergeCell ref="D50:N50"/>
    <mergeCell ref="A40:C40"/>
    <mergeCell ref="D40:G40"/>
    <mergeCell ref="H40:N40"/>
    <mergeCell ref="A41:C41"/>
    <mergeCell ref="D41:N41"/>
    <mergeCell ref="A31:C31"/>
    <mergeCell ref="D31:G31"/>
    <mergeCell ref="H31:N31"/>
    <mergeCell ref="A32:C32"/>
    <mergeCell ref="D32:N32"/>
    <mergeCell ref="A22:C22"/>
    <mergeCell ref="D22:G22"/>
    <mergeCell ref="H22:N22"/>
    <mergeCell ref="A23:C23"/>
    <mergeCell ref="D23:N23"/>
    <mergeCell ref="A13:C13"/>
    <mergeCell ref="D13:G13"/>
    <mergeCell ref="H13:N13"/>
    <mergeCell ref="A14:C14"/>
    <mergeCell ref="D14:N14"/>
    <mergeCell ref="A4:C4"/>
    <mergeCell ref="D4:G4"/>
    <mergeCell ref="H4:N4"/>
    <mergeCell ref="A5:C5"/>
    <mergeCell ref="D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3"/>
  <sheetViews>
    <sheetView tabSelected="1" zoomScaleNormal="100" workbookViewId="0">
      <selection activeCell="E2" sqref="E2"/>
    </sheetView>
  </sheetViews>
  <sheetFormatPr defaultColWidth="8.6328125" defaultRowHeight="14.5" x14ac:dyDescent="0.35"/>
  <cols>
    <col min="1" max="1" width="24" customWidth="1"/>
    <col min="2" max="2" width="12" customWidth="1"/>
    <col min="3" max="3" width="10" customWidth="1"/>
    <col min="4" max="4" width="16" customWidth="1"/>
    <col min="5" max="5" width="18" customWidth="1"/>
    <col min="6" max="6" width="14" customWidth="1"/>
    <col min="7" max="11" width="12" customWidth="1"/>
    <col min="12" max="13" width="10" customWidth="1"/>
    <col min="14" max="14" width="18" customWidth="1"/>
  </cols>
  <sheetData>
    <row r="1" spans="1:14" x14ac:dyDescent="0.35">
      <c r="A1" t="s">
        <v>65</v>
      </c>
      <c r="B1" t="s">
        <v>66</v>
      </c>
    </row>
    <row r="2" spans="1:14" x14ac:dyDescent="0.35">
      <c r="A2" t="s">
        <v>61</v>
      </c>
      <c r="B2" t="s">
        <v>62</v>
      </c>
    </row>
    <row r="3" spans="1:14" x14ac:dyDescent="0.35">
      <c r="A3" t="s">
        <v>67</v>
      </c>
      <c r="B3" t="s">
        <v>70</v>
      </c>
    </row>
    <row r="4" spans="1:14" ht="19.5" customHeight="1" x14ac:dyDescent="0.35">
      <c r="A4" s="1" t="s">
        <v>0</v>
      </c>
      <c r="B4" s="1"/>
      <c r="C4" s="1"/>
      <c r="D4" s="5" t="s">
        <v>1</v>
      </c>
      <c r="E4" s="5"/>
      <c r="F4" s="5"/>
      <c r="G4" s="5"/>
      <c r="H4" s="4" t="s">
        <v>2</v>
      </c>
      <c r="I4" s="4"/>
      <c r="J4" s="4"/>
      <c r="K4" s="4"/>
      <c r="L4" s="4"/>
      <c r="M4" s="4"/>
      <c r="N4" s="4"/>
    </row>
    <row r="5" spans="1:14" ht="19.5" customHeight="1" x14ac:dyDescent="0.35">
      <c r="A5" s="1" t="s">
        <v>3</v>
      </c>
      <c r="B5" s="1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7.75" customHeight="1" x14ac:dyDescent="0.35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</row>
    <row r="7" spans="1:14" ht="18" customHeight="1" x14ac:dyDescent="0.35">
      <c r="A7" s="20" t="s">
        <v>18</v>
      </c>
      <c r="B7" s="21">
        <v>1718</v>
      </c>
      <c r="C7" s="21">
        <v>2.5</v>
      </c>
      <c r="D7" s="21">
        <v>371.4</v>
      </c>
      <c r="E7" s="21">
        <v>204.3</v>
      </c>
      <c r="F7" s="21">
        <v>27.6</v>
      </c>
      <c r="G7" s="21">
        <v>166</v>
      </c>
      <c r="H7" s="21">
        <v>161</v>
      </c>
      <c r="I7" s="21">
        <v>285</v>
      </c>
      <c r="J7" s="21">
        <v>369</v>
      </c>
      <c r="K7" s="21">
        <v>511</v>
      </c>
      <c r="L7" s="21">
        <v>110</v>
      </c>
      <c r="M7" s="21">
        <v>568</v>
      </c>
      <c r="N7" s="21"/>
    </row>
    <row r="8" spans="1:14" ht="18" customHeight="1" x14ac:dyDescent="0.35">
      <c r="A8" s="10" t="s">
        <v>19</v>
      </c>
      <c r="B8" s="11">
        <v>1522</v>
      </c>
      <c r="C8" s="11">
        <v>1.6</v>
      </c>
      <c r="D8" s="11">
        <v>286.2</v>
      </c>
      <c r="E8" s="11">
        <v>142.5</v>
      </c>
      <c r="F8" s="11">
        <v>30.8</v>
      </c>
      <c r="G8" s="11">
        <v>211</v>
      </c>
      <c r="H8" s="11">
        <v>174</v>
      </c>
      <c r="I8" s="11">
        <v>361</v>
      </c>
      <c r="J8" s="11">
        <v>453</v>
      </c>
      <c r="K8" s="11">
        <v>557</v>
      </c>
      <c r="L8" s="11">
        <v>169</v>
      </c>
      <c r="M8" s="11">
        <v>626</v>
      </c>
      <c r="N8" s="11"/>
    </row>
    <row r="9" spans="1:14" ht="18" customHeight="1" x14ac:dyDescent="0.35">
      <c r="A9" s="20" t="s">
        <v>20</v>
      </c>
      <c r="B9" s="21">
        <v>2059</v>
      </c>
      <c r="C9" s="21">
        <v>0.8</v>
      </c>
      <c r="D9" s="21">
        <v>258.5</v>
      </c>
      <c r="E9" s="21">
        <v>188.9</v>
      </c>
      <c r="F9" s="21">
        <v>26.7</v>
      </c>
      <c r="G9" s="21">
        <v>247</v>
      </c>
      <c r="H9" s="21">
        <v>247</v>
      </c>
      <c r="I9" s="21">
        <v>432</v>
      </c>
      <c r="J9" s="21">
        <v>488</v>
      </c>
      <c r="K9" s="21">
        <v>631</v>
      </c>
      <c r="L9" s="21">
        <v>183</v>
      </c>
      <c r="M9" s="21">
        <v>777</v>
      </c>
      <c r="N9" s="21"/>
    </row>
    <row r="10" spans="1:14" ht="18" customHeight="1" x14ac:dyDescent="0.35">
      <c r="A10" s="10" t="s">
        <v>21</v>
      </c>
      <c r="B10" s="11">
        <v>1330</v>
      </c>
      <c r="C10" s="11">
        <v>1.7</v>
      </c>
      <c r="D10" s="11">
        <v>261.60000000000002</v>
      </c>
      <c r="E10" s="11">
        <v>169.7</v>
      </c>
      <c r="F10" s="11">
        <v>21.3</v>
      </c>
      <c r="G10" s="11">
        <v>252</v>
      </c>
      <c r="H10" s="11">
        <v>197</v>
      </c>
      <c r="I10" s="11">
        <v>443</v>
      </c>
      <c r="J10" s="11">
        <v>506</v>
      </c>
      <c r="K10" s="11">
        <v>641</v>
      </c>
      <c r="L10" s="11">
        <v>200</v>
      </c>
      <c r="M10" s="11">
        <v>738</v>
      </c>
      <c r="N10" s="11"/>
    </row>
    <row r="11" spans="1:14" ht="19.5" customHeight="1" x14ac:dyDescent="0.35">
      <c r="A11" s="22" t="s">
        <v>22</v>
      </c>
      <c r="B11" s="23">
        <f>SUM(B7:B10)</f>
        <v>6629</v>
      </c>
      <c r="C11" s="23">
        <f>AVERAGE(C7:C10)</f>
        <v>1.65</v>
      </c>
      <c r="D11" s="23">
        <f>SUM(D7:D10)</f>
        <v>1177.6999999999998</v>
      </c>
      <c r="E11" s="23">
        <f>SUM(E7:E10)</f>
        <v>705.40000000000009</v>
      </c>
      <c r="F11" s="23">
        <f>SUM(F7:F10)</f>
        <v>106.4</v>
      </c>
      <c r="G11" s="23">
        <f>AVERAGE(G7:G10)</f>
        <v>219</v>
      </c>
      <c r="H11" s="23">
        <f>AVERAGE(H7:H10)</f>
        <v>194.75</v>
      </c>
      <c r="I11" s="23">
        <f>MAX(I7:I10)</f>
        <v>443</v>
      </c>
      <c r="J11" s="23">
        <f>MAX(J7:J10)</f>
        <v>506</v>
      </c>
      <c r="K11" s="23">
        <f>MAX(K7:K10)</f>
        <v>641</v>
      </c>
      <c r="L11" s="23">
        <f>MIN(L7:L10)</f>
        <v>110</v>
      </c>
      <c r="M11" s="23">
        <f>MAX(M7:M10)</f>
        <v>777</v>
      </c>
      <c r="N11" s="23"/>
    </row>
    <row r="12" spans="1:14" ht="7.5" customHeight="1" x14ac:dyDescent="0.35"/>
    <row r="13" spans="1:14" ht="19.5" customHeight="1" x14ac:dyDescent="0.35">
      <c r="A13" s="1" t="s">
        <v>0</v>
      </c>
      <c r="B13" s="1"/>
      <c r="C13" s="1"/>
      <c r="D13" s="5" t="s">
        <v>23</v>
      </c>
      <c r="E13" s="5"/>
      <c r="F13" s="5"/>
      <c r="G13" s="5"/>
      <c r="H13" s="4" t="s">
        <v>24</v>
      </c>
      <c r="I13" s="4"/>
      <c r="J13" s="4"/>
      <c r="K13" s="4"/>
      <c r="L13" s="4"/>
      <c r="M13" s="4"/>
      <c r="N13" s="4"/>
    </row>
    <row r="14" spans="1:14" ht="19.5" customHeight="1" x14ac:dyDescent="0.35">
      <c r="A14" s="1" t="s">
        <v>3</v>
      </c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7.75" customHeight="1" x14ac:dyDescent="0.35">
      <c r="A15" s="19" t="s">
        <v>4</v>
      </c>
      <c r="B15" s="19" t="s">
        <v>5</v>
      </c>
      <c r="C15" s="19" t="s">
        <v>6</v>
      </c>
      <c r="D15" s="19" t="s">
        <v>7</v>
      </c>
      <c r="E15" s="19" t="s">
        <v>8</v>
      </c>
      <c r="F15" s="19" t="s">
        <v>9</v>
      </c>
      <c r="G15" s="19" t="s">
        <v>10</v>
      </c>
      <c r="H15" s="19" t="s">
        <v>11</v>
      </c>
      <c r="I15" s="19" t="s">
        <v>12</v>
      </c>
      <c r="J15" s="19" t="s">
        <v>13</v>
      </c>
      <c r="K15" s="19" t="s">
        <v>14</v>
      </c>
      <c r="L15" s="19" t="s">
        <v>15</v>
      </c>
      <c r="M15" s="19" t="s">
        <v>16</v>
      </c>
      <c r="N15" s="19" t="s">
        <v>17</v>
      </c>
    </row>
    <row r="16" spans="1:14" ht="18" customHeight="1" x14ac:dyDescent="0.35">
      <c r="A16" s="20" t="s">
        <v>18</v>
      </c>
      <c r="B16" s="21">
        <v>1729</v>
      </c>
      <c r="C16" s="21">
        <v>2.7</v>
      </c>
      <c r="D16" s="21">
        <v>333</v>
      </c>
      <c r="E16" s="21">
        <v>174.1</v>
      </c>
      <c r="F16" s="21">
        <v>28.1</v>
      </c>
      <c r="G16" s="21">
        <v>216</v>
      </c>
      <c r="H16" s="21">
        <v>202</v>
      </c>
      <c r="I16" s="21">
        <v>321</v>
      </c>
      <c r="J16" s="21">
        <v>377</v>
      </c>
      <c r="K16" s="21">
        <v>483</v>
      </c>
      <c r="L16" s="21">
        <v>197</v>
      </c>
      <c r="M16" s="21">
        <v>564</v>
      </c>
      <c r="N16" s="21"/>
    </row>
    <row r="17" spans="1:14" ht="18" customHeight="1" x14ac:dyDescent="0.35">
      <c r="A17" s="10" t="s">
        <v>19</v>
      </c>
      <c r="B17" s="11">
        <v>2143</v>
      </c>
      <c r="C17" s="11">
        <v>0.8</v>
      </c>
      <c r="D17" s="11">
        <v>283.10000000000002</v>
      </c>
      <c r="E17" s="11">
        <v>175.6</v>
      </c>
      <c r="F17" s="11">
        <v>25</v>
      </c>
      <c r="G17" s="11">
        <v>330</v>
      </c>
      <c r="H17" s="11">
        <v>162</v>
      </c>
      <c r="I17" s="11">
        <v>526</v>
      </c>
      <c r="J17" s="11">
        <v>580</v>
      </c>
      <c r="K17" s="11">
        <v>737</v>
      </c>
      <c r="L17" s="11">
        <v>173</v>
      </c>
      <c r="M17" s="11">
        <v>876</v>
      </c>
      <c r="N17" s="11"/>
    </row>
    <row r="18" spans="1:14" ht="18" customHeight="1" x14ac:dyDescent="0.35">
      <c r="A18" s="20" t="s">
        <v>20</v>
      </c>
      <c r="B18" s="21">
        <v>1259</v>
      </c>
      <c r="C18" s="21">
        <v>2.8</v>
      </c>
      <c r="D18" s="21">
        <v>430.2</v>
      </c>
      <c r="E18" s="21">
        <v>188.6</v>
      </c>
      <c r="F18" s="21">
        <v>28.5</v>
      </c>
      <c r="G18" s="21">
        <v>329</v>
      </c>
      <c r="H18" s="21">
        <v>328</v>
      </c>
      <c r="I18" s="21">
        <v>476</v>
      </c>
      <c r="J18" s="21">
        <v>528</v>
      </c>
      <c r="K18" s="21">
        <v>613</v>
      </c>
      <c r="L18" s="21">
        <v>155</v>
      </c>
      <c r="M18" s="21">
        <v>725</v>
      </c>
      <c r="N18" s="21"/>
    </row>
    <row r="19" spans="1:14" ht="18" customHeight="1" x14ac:dyDescent="0.35">
      <c r="A19" s="10" t="s">
        <v>21</v>
      </c>
      <c r="B19" s="11">
        <v>1664</v>
      </c>
      <c r="C19" s="11">
        <v>3.5</v>
      </c>
      <c r="D19" s="11">
        <v>376.2</v>
      </c>
      <c r="E19" s="11">
        <v>186.9</v>
      </c>
      <c r="F19" s="11">
        <v>28.2</v>
      </c>
      <c r="G19" s="11">
        <v>348</v>
      </c>
      <c r="H19" s="11">
        <v>254</v>
      </c>
      <c r="I19" s="11">
        <v>529</v>
      </c>
      <c r="J19" s="11">
        <v>597</v>
      </c>
      <c r="K19" s="11">
        <v>679</v>
      </c>
      <c r="L19" s="11">
        <v>103</v>
      </c>
      <c r="M19" s="11">
        <v>744</v>
      </c>
      <c r="N19" s="11"/>
    </row>
    <row r="20" spans="1:14" ht="19.5" customHeight="1" x14ac:dyDescent="0.35">
      <c r="A20" s="22" t="s">
        <v>22</v>
      </c>
      <c r="B20" s="23">
        <f>SUM(B16:B19)</f>
        <v>6795</v>
      </c>
      <c r="C20" s="23">
        <f>AVERAGE(C16:C19)</f>
        <v>2.4500000000000002</v>
      </c>
      <c r="D20" s="23">
        <f>SUM(D16:D19)</f>
        <v>1422.5</v>
      </c>
      <c r="E20" s="23">
        <f>SUM(E16:E19)</f>
        <v>725.19999999999993</v>
      </c>
      <c r="F20" s="23">
        <f>SUM(F16:F19)</f>
        <v>109.8</v>
      </c>
      <c r="G20" s="23">
        <f>AVERAGE(G16:G19)</f>
        <v>305.75</v>
      </c>
      <c r="H20" s="23">
        <f>AVERAGE(H16:H19)</f>
        <v>236.5</v>
      </c>
      <c r="I20" s="23">
        <f>MAX(I16:I19)</f>
        <v>529</v>
      </c>
      <c r="J20" s="23">
        <f>MAX(J16:J19)</f>
        <v>597</v>
      </c>
      <c r="K20" s="23">
        <f>MAX(K16:K19)</f>
        <v>737</v>
      </c>
      <c r="L20" s="23">
        <f>MIN(L16:L19)</f>
        <v>103</v>
      </c>
      <c r="M20" s="23">
        <f>MAX(M16:M19)</f>
        <v>876</v>
      </c>
      <c r="N20" s="23"/>
    </row>
    <row r="21" spans="1:14" ht="7.5" customHeight="1" x14ac:dyDescent="0.35"/>
    <row r="22" spans="1:14" ht="19.5" customHeight="1" x14ac:dyDescent="0.35">
      <c r="A22" s="1" t="s">
        <v>0</v>
      </c>
      <c r="B22" s="1"/>
      <c r="C22" s="1"/>
      <c r="D22" s="5" t="s">
        <v>25</v>
      </c>
      <c r="E22" s="5"/>
      <c r="F22" s="5"/>
      <c r="G22" s="5"/>
      <c r="H22" s="4" t="s">
        <v>26</v>
      </c>
      <c r="I22" s="4"/>
      <c r="J22" s="4"/>
      <c r="K22" s="4"/>
      <c r="L22" s="4"/>
      <c r="M22" s="4"/>
      <c r="N22" s="4"/>
    </row>
    <row r="23" spans="1:14" ht="19.5" customHeight="1" x14ac:dyDescent="0.35">
      <c r="A23" s="1" t="s">
        <v>3</v>
      </c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7.75" customHeight="1" x14ac:dyDescent="0.35">
      <c r="A24" s="19" t="s">
        <v>4</v>
      </c>
      <c r="B24" s="19" t="s">
        <v>5</v>
      </c>
      <c r="C24" s="19" t="s">
        <v>6</v>
      </c>
      <c r="D24" s="19" t="s">
        <v>7</v>
      </c>
      <c r="E24" s="19" t="s">
        <v>8</v>
      </c>
      <c r="F24" s="19" t="s">
        <v>9</v>
      </c>
      <c r="G24" s="19" t="s">
        <v>10</v>
      </c>
      <c r="H24" s="19" t="s">
        <v>11</v>
      </c>
      <c r="I24" s="19" t="s">
        <v>12</v>
      </c>
      <c r="J24" s="19" t="s">
        <v>13</v>
      </c>
      <c r="K24" s="19" t="s">
        <v>14</v>
      </c>
      <c r="L24" s="19" t="s">
        <v>15</v>
      </c>
      <c r="M24" s="19" t="s">
        <v>16</v>
      </c>
      <c r="N24" s="19" t="s">
        <v>17</v>
      </c>
    </row>
    <row r="25" spans="1:14" ht="18" customHeight="1" x14ac:dyDescent="0.35">
      <c r="A25" s="20" t="s">
        <v>18</v>
      </c>
      <c r="B25" s="21">
        <v>1451</v>
      </c>
      <c r="C25" s="21">
        <v>1.8</v>
      </c>
      <c r="D25" s="21">
        <v>348.4</v>
      </c>
      <c r="E25" s="21">
        <v>165.8</v>
      </c>
      <c r="F25" s="21">
        <v>28</v>
      </c>
      <c r="G25" s="21">
        <v>376</v>
      </c>
      <c r="H25" s="21">
        <v>345</v>
      </c>
      <c r="I25" s="21">
        <v>521</v>
      </c>
      <c r="J25" s="21">
        <v>596</v>
      </c>
      <c r="K25" s="21">
        <v>733</v>
      </c>
      <c r="L25" s="21">
        <v>181</v>
      </c>
      <c r="M25" s="21">
        <v>872</v>
      </c>
      <c r="N25" s="21"/>
    </row>
    <row r="26" spans="1:14" ht="18" customHeight="1" x14ac:dyDescent="0.35">
      <c r="A26" s="10" t="s">
        <v>19</v>
      </c>
      <c r="B26" s="11">
        <v>1814</v>
      </c>
      <c r="C26" s="11">
        <v>0.7</v>
      </c>
      <c r="D26" s="11">
        <v>421.7</v>
      </c>
      <c r="E26" s="11">
        <v>172.8</v>
      </c>
      <c r="F26" s="11">
        <v>19.399999999999999</v>
      </c>
      <c r="G26" s="11">
        <v>205</v>
      </c>
      <c r="H26" s="11">
        <v>176</v>
      </c>
      <c r="I26" s="11">
        <v>368</v>
      </c>
      <c r="J26" s="11">
        <v>451</v>
      </c>
      <c r="K26" s="11">
        <v>562</v>
      </c>
      <c r="L26" s="11">
        <v>111</v>
      </c>
      <c r="M26" s="11">
        <v>710</v>
      </c>
      <c r="N26" s="11"/>
    </row>
    <row r="27" spans="1:14" ht="18" customHeight="1" x14ac:dyDescent="0.35">
      <c r="A27" s="20" t="s">
        <v>20</v>
      </c>
      <c r="B27" s="21">
        <v>1556</v>
      </c>
      <c r="C27" s="21">
        <v>3.3</v>
      </c>
      <c r="D27" s="21">
        <v>270.89999999999998</v>
      </c>
      <c r="E27" s="21">
        <v>168.5</v>
      </c>
      <c r="F27" s="21">
        <v>15.7</v>
      </c>
      <c r="G27" s="21">
        <v>203</v>
      </c>
      <c r="H27" s="21">
        <v>194</v>
      </c>
      <c r="I27" s="21">
        <v>370</v>
      </c>
      <c r="J27" s="21">
        <v>452</v>
      </c>
      <c r="K27" s="21">
        <v>584</v>
      </c>
      <c r="L27" s="21">
        <v>113</v>
      </c>
      <c r="M27" s="21">
        <v>687</v>
      </c>
      <c r="N27" s="21"/>
    </row>
    <row r="28" spans="1:14" ht="18" customHeight="1" x14ac:dyDescent="0.35">
      <c r="A28" s="10" t="s">
        <v>21</v>
      </c>
      <c r="B28" s="11">
        <v>2011</v>
      </c>
      <c r="C28" s="11">
        <v>2.7</v>
      </c>
      <c r="D28" s="11">
        <v>439.8</v>
      </c>
      <c r="E28" s="11">
        <v>175</v>
      </c>
      <c r="F28" s="11">
        <v>19.5</v>
      </c>
      <c r="G28" s="11">
        <v>260</v>
      </c>
      <c r="H28" s="11">
        <v>161</v>
      </c>
      <c r="I28" s="11">
        <v>456</v>
      </c>
      <c r="J28" s="11">
        <v>514</v>
      </c>
      <c r="K28" s="11">
        <v>597</v>
      </c>
      <c r="L28" s="11">
        <v>134</v>
      </c>
      <c r="M28" s="11">
        <v>666</v>
      </c>
      <c r="N28" s="11"/>
    </row>
    <row r="29" spans="1:14" ht="19.5" customHeight="1" x14ac:dyDescent="0.35">
      <c r="A29" s="22" t="s">
        <v>22</v>
      </c>
      <c r="B29" s="23">
        <f>SUM(B25:B28)</f>
        <v>6832</v>
      </c>
      <c r="C29" s="23">
        <f>AVERAGE(C25:C28)</f>
        <v>2.125</v>
      </c>
      <c r="D29" s="23">
        <f>SUM(D25:D28)</f>
        <v>1480.8</v>
      </c>
      <c r="E29" s="23">
        <f>SUM(E25:E28)</f>
        <v>682.1</v>
      </c>
      <c r="F29" s="23">
        <f>SUM(F25:F28)</f>
        <v>82.6</v>
      </c>
      <c r="G29" s="23">
        <f>AVERAGE(G25:G28)</f>
        <v>261</v>
      </c>
      <c r="H29" s="23">
        <f>AVERAGE(H25:H28)</f>
        <v>219</v>
      </c>
      <c r="I29" s="23">
        <f>MAX(I25:I28)</f>
        <v>521</v>
      </c>
      <c r="J29" s="23">
        <f>MAX(J25:J28)</f>
        <v>596</v>
      </c>
      <c r="K29" s="23">
        <f>MAX(K25:K28)</f>
        <v>733</v>
      </c>
      <c r="L29" s="23">
        <f>MIN(L25:L28)</f>
        <v>111</v>
      </c>
      <c r="M29" s="23">
        <f>MAX(M25:M28)</f>
        <v>872</v>
      </c>
      <c r="N29" s="23"/>
    </row>
    <row r="30" spans="1:14" ht="7.5" customHeight="1" x14ac:dyDescent="0.35"/>
    <row r="31" spans="1:14" ht="19.5" customHeight="1" x14ac:dyDescent="0.35">
      <c r="A31" s="1" t="s">
        <v>0</v>
      </c>
      <c r="B31" s="1"/>
      <c r="C31" s="1"/>
      <c r="D31" s="5" t="s">
        <v>27</v>
      </c>
      <c r="E31" s="5"/>
      <c r="F31" s="5"/>
      <c r="G31" s="5"/>
      <c r="H31" s="4" t="s">
        <v>28</v>
      </c>
      <c r="I31" s="4"/>
      <c r="J31" s="4"/>
      <c r="K31" s="4"/>
      <c r="L31" s="4"/>
      <c r="M31" s="4"/>
      <c r="N31" s="4"/>
    </row>
    <row r="32" spans="1:14" ht="19.5" customHeight="1" x14ac:dyDescent="0.35">
      <c r="A32" s="1" t="s">
        <v>3</v>
      </c>
      <c r="B32" s="1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27.75" customHeight="1" x14ac:dyDescent="0.35">
      <c r="A33" s="19" t="s">
        <v>4</v>
      </c>
      <c r="B33" s="19" t="s">
        <v>5</v>
      </c>
      <c r="C33" s="19" t="s">
        <v>6</v>
      </c>
      <c r="D33" s="19" t="s">
        <v>7</v>
      </c>
      <c r="E33" s="19" t="s">
        <v>8</v>
      </c>
      <c r="F33" s="19" t="s">
        <v>9</v>
      </c>
      <c r="G33" s="19" t="s">
        <v>10</v>
      </c>
      <c r="H33" s="19" t="s">
        <v>11</v>
      </c>
      <c r="I33" s="19" t="s">
        <v>12</v>
      </c>
      <c r="J33" s="19" t="s">
        <v>13</v>
      </c>
      <c r="K33" s="19" t="s">
        <v>14</v>
      </c>
      <c r="L33" s="19" t="s">
        <v>15</v>
      </c>
      <c r="M33" s="19" t="s">
        <v>16</v>
      </c>
      <c r="N33" s="19" t="s">
        <v>17</v>
      </c>
    </row>
    <row r="34" spans="1:14" ht="18" customHeight="1" x14ac:dyDescent="0.35">
      <c r="A34" s="20" t="s">
        <v>18</v>
      </c>
      <c r="B34" s="21">
        <v>2141</v>
      </c>
      <c r="C34" s="21">
        <v>2.8</v>
      </c>
      <c r="D34" s="21">
        <v>381.3</v>
      </c>
      <c r="E34" s="21">
        <v>167.4</v>
      </c>
      <c r="F34" s="21">
        <v>18.7</v>
      </c>
      <c r="G34" s="21">
        <v>305</v>
      </c>
      <c r="H34" s="21">
        <v>304</v>
      </c>
      <c r="I34" s="21">
        <v>494</v>
      </c>
      <c r="J34" s="21">
        <v>563</v>
      </c>
      <c r="K34" s="21">
        <v>661</v>
      </c>
      <c r="L34" s="21">
        <v>109</v>
      </c>
      <c r="M34" s="21">
        <v>785</v>
      </c>
      <c r="N34" s="21"/>
    </row>
    <row r="35" spans="1:14" ht="18" customHeight="1" x14ac:dyDescent="0.35">
      <c r="A35" s="10" t="s">
        <v>19</v>
      </c>
      <c r="B35" s="11">
        <v>2194</v>
      </c>
      <c r="C35" s="11">
        <v>3.5</v>
      </c>
      <c r="D35" s="11">
        <v>430.1</v>
      </c>
      <c r="E35" s="11">
        <v>189</v>
      </c>
      <c r="F35" s="11">
        <v>26.7</v>
      </c>
      <c r="G35" s="11">
        <v>337</v>
      </c>
      <c r="H35" s="11">
        <v>254</v>
      </c>
      <c r="I35" s="11">
        <v>476</v>
      </c>
      <c r="J35" s="11">
        <v>569</v>
      </c>
      <c r="K35" s="11">
        <v>695</v>
      </c>
      <c r="L35" s="11">
        <v>176</v>
      </c>
      <c r="M35" s="11">
        <v>838</v>
      </c>
      <c r="N35" s="11"/>
    </row>
    <row r="36" spans="1:14" ht="18" customHeight="1" x14ac:dyDescent="0.35">
      <c r="A36" s="20" t="s">
        <v>20</v>
      </c>
      <c r="B36" s="21">
        <v>1612</v>
      </c>
      <c r="C36" s="21">
        <v>2.2000000000000002</v>
      </c>
      <c r="D36" s="21">
        <v>441.9</v>
      </c>
      <c r="E36" s="21">
        <v>194.6</v>
      </c>
      <c r="F36" s="21">
        <v>31.1</v>
      </c>
      <c r="G36" s="21">
        <v>182</v>
      </c>
      <c r="H36" s="21">
        <v>177</v>
      </c>
      <c r="I36" s="21">
        <v>345</v>
      </c>
      <c r="J36" s="21">
        <v>437</v>
      </c>
      <c r="K36" s="21">
        <v>526</v>
      </c>
      <c r="L36" s="21">
        <v>193</v>
      </c>
      <c r="M36" s="21">
        <v>655</v>
      </c>
      <c r="N36" s="21"/>
    </row>
    <row r="37" spans="1:14" ht="18" customHeight="1" x14ac:dyDescent="0.35">
      <c r="A37" s="10" t="s">
        <v>21</v>
      </c>
      <c r="B37" s="11">
        <v>1995</v>
      </c>
      <c r="C37" s="11">
        <v>2.2999999999999998</v>
      </c>
      <c r="D37" s="11">
        <v>446.9</v>
      </c>
      <c r="E37" s="11">
        <v>169.3</v>
      </c>
      <c r="F37" s="11">
        <v>27.8</v>
      </c>
      <c r="G37" s="11">
        <v>262</v>
      </c>
      <c r="H37" s="11">
        <v>193</v>
      </c>
      <c r="I37" s="11">
        <v>419</v>
      </c>
      <c r="J37" s="11">
        <v>476</v>
      </c>
      <c r="K37" s="11">
        <v>598</v>
      </c>
      <c r="L37" s="11">
        <v>108</v>
      </c>
      <c r="M37" s="11">
        <v>674</v>
      </c>
      <c r="N37" s="11"/>
    </row>
    <row r="38" spans="1:14" ht="19.5" customHeight="1" x14ac:dyDescent="0.35">
      <c r="A38" s="22" t="s">
        <v>22</v>
      </c>
      <c r="B38" s="23">
        <f>SUM(B34:B37)</f>
        <v>7942</v>
      </c>
      <c r="C38" s="23">
        <f>AVERAGE(C34:C37)</f>
        <v>2.7</v>
      </c>
      <c r="D38" s="23">
        <f>SUM(D34:D37)</f>
        <v>1700.2000000000003</v>
      </c>
      <c r="E38" s="23">
        <f>SUM(E34:E37)</f>
        <v>720.3</v>
      </c>
      <c r="F38" s="23">
        <f>SUM(F34:F37)</f>
        <v>104.3</v>
      </c>
      <c r="G38" s="23">
        <f>AVERAGE(G34:G37)</f>
        <v>271.5</v>
      </c>
      <c r="H38" s="23">
        <f>AVERAGE(H34:H37)</f>
        <v>232</v>
      </c>
      <c r="I38" s="23">
        <f>MAX(I34:I37)</f>
        <v>494</v>
      </c>
      <c r="J38" s="23">
        <f>MAX(J34:J37)</f>
        <v>569</v>
      </c>
      <c r="K38" s="23">
        <f>MAX(K34:K37)</f>
        <v>695</v>
      </c>
      <c r="L38" s="23">
        <f>MIN(L34:L37)</f>
        <v>108</v>
      </c>
      <c r="M38" s="23">
        <f>MAX(M34:M37)</f>
        <v>838</v>
      </c>
      <c r="N38" s="23"/>
    </row>
    <row r="39" spans="1:14" ht="7.5" customHeight="1" x14ac:dyDescent="0.35"/>
    <row r="40" spans="1:14" ht="19.5" customHeight="1" x14ac:dyDescent="0.35">
      <c r="A40" s="1" t="s">
        <v>0</v>
      </c>
      <c r="B40" s="1"/>
      <c r="C40" s="1"/>
      <c r="D40" s="5" t="s">
        <v>29</v>
      </c>
      <c r="E40" s="5"/>
      <c r="F40" s="5"/>
      <c r="G40" s="5"/>
      <c r="H40" s="4" t="s">
        <v>30</v>
      </c>
      <c r="I40" s="4"/>
      <c r="J40" s="4"/>
      <c r="K40" s="4"/>
      <c r="L40" s="4"/>
      <c r="M40" s="4"/>
      <c r="N40" s="4"/>
    </row>
    <row r="41" spans="1:14" ht="19.5" customHeight="1" x14ac:dyDescent="0.35">
      <c r="A41" s="1" t="s">
        <v>3</v>
      </c>
      <c r="B41" s="1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27.75" customHeight="1" x14ac:dyDescent="0.35">
      <c r="A42" s="19" t="s">
        <v>4</v>
      </c>
      <c r="B42" s="19" t="s">
        <v>5</v>
      </c>
      <c r="C42" s="19" t="s">
        <v>6</v>
      </c>
      <c r="D42" s="19" t="s">
        <v>7</v>
      </c>
      <c r="E42" s="19" t="s">
        <v>8</v>
      </c>
      <c r="F42" s="19" t="s">
        <v>9</v>
      </c>
      <c r="G42" s="19" t="s">
        <v>10</v>
      </c>
      <c r="H42" s="19" t="s">
        <v>11</v>
      </c>
      <c r="I42" s="19" t="s">
        <v>12</v>
      </c>
      <c r="J42" s="19" t="s">
        <v>13</v>
      </c>
      <c r="K42" s="19" t="s">
        <v>14</v>
      </c>
      <c r="L42" s="19" t="s">
        <v>15</v>
      </c>
      <c r="M42" s="19" t="s">
        <v>16</v>
      </c>
      <c r="N42" s="19" t="s">
        <v>17</v>
      </c>
    </row>
    <row r="43" spans="1:14" ht="18" customHeight="1" x14ac:dyDescent="0.35">
      <c r="A43" s="20" t="s">
        <v>18</v>
      </c>
      <c r="B43" s="21">
        <v>1555</v>
      </c>
      <c r="C43" s="21">
        <v>2.7</v>
      </c>
      <c r="D43" s="21">
        <v>403.9</v>
      </c>
      <c r="E43" s="21">
        <v>134.9</v>
      </c>
      <c r="F43" s="21">
        <v>16.600000000000001</v>
      </c>
      <c r="G43" s="21">
        <v>224</v>
      </c>
      <c r="H43" s="21">
        <v>170</v>
      </c>
      <c r="I43" s="21">
        <v>331</v>
      </c>
      <c r="J43" s="21">
        <v>378</v>
      </c>
      <c r="K43" s="21">
        <v>465</v>
      </c>
      <c r="L43" s="21">
        <v>159</v>
      </c>
      <c r="M43" s="21">
        <v>536</v>
      </c>
      <c r="N43" s="21"/>
    </row>
    <row r="44" spans="1:14" ht="18" customHeight="1" x14ac:dyDescent="0.35">
      <c r="A44" s="10" t="s">
        <v>19</v>
      </c>
      <c r="B44" s="11">
        <v>2127</v>
      </c>
      <c r="C44" s="11">
        <v>1</v>
      </c>
      <c r="D44" s="11">
        <v>405.4</v>
      </c>
      <c r="E44" s="11">
        <v>138.9</v>
      </c>
      <c r="F44" s="11">
        <v>28.6</v>
      </c>
      <c r="G44" s="11">
        <v>346</v>
      </c>
      <c r="H44" s="11">
        <v>185</v>
      </c>
      <c r="I44" s="11">
        <v>543</v>
      </c>
      <c r="J44" s="11">
        <v>628</v>
      </c>
      <c r="K44" s="11">
        <v>778</v>
      </c>
      <c r="L44" s="11">
        <v>110</v>
      </c>
      <c r="M44" s="11">
        <v>841</v>
      </c>
      <c r="N44" s="11"/>
    </row>
    <row r="45" spans="1:14" ht="18" customHeight="1" x14ac:dyDescent="0.35">
      <c r="A45" s="20" t="s">
        <v>20</v>
      </c>
      <c r="B45" s="21">
        <v>2059</v>
      </c>
      <c r="C45" s="21">
        <v>1.6</v>
      </c>
      <c r="D45" s="21">
        <v>352.1</v>
      </c>
      <c r="E45" s="21">
        <v>163</v>
      </c>
      <c r="F45" s="21">
        <v>31.6</v>
      </c>
      <c r="G45" s="21">
        <v>189</v>
      </c>
      <c r="H45" s="21">
        <v>179</v>
      </c>
      <c r="I45" s="21">
        <v>323</v>
      </c>
      <c r="J45" s="21">
        <v>368</v>
      </c>
      <c r="K45" s="21">
        <v>498</v>
      </c>
      <c r="L45" s="21">
        <v>111</v>
      </c>
      <c r="M45" s="21">
        <v>572</v>
      </c>
      <c r="N45" s="21"/>
    </row>
    <row r="46" spans="1:14" ht="18" customHeight="1" x14ac:dyDescent="0.35">
      <c r="A46" s="10" t="s">
        <v>21</v>
      </c>
      <c r="B46" s="11">
        <v>2067</v>
      </c>
      <c r="C46" s="11">
        <v>2.1</v>
      </c>
      <c r="D46" s="11">
        <v>289.39999999999998</v>
      </c>
      <c r="E46" s="11">
        <v>203.6</v>
      </c>
      <c r="F46" s="11">
        <v>27.6</v>
      </c>
      <c r="G46" s="11">
        <v>188</v>
      </c>
      <c r="H46" s="11">
        <v>165</v>
      </c>
      <c r="I46" s="11">
        <v>291</v>
      </c>
      <c r="J46" s="11">
        <v>361</v>
      </c>
      <c r="K46" s="11">
        <v>446</v>
      </c>
      <c r="L46" s="11">
        <v>189</v>
      </c>
      <c r="M46" s="11">
        <v>596</v>
      </c>
      <c r="N46" s="11"/>
    </row>
    <row r="47" spans="1:14" ht="19.5" customHeight="1" x14ac:dyDescent="0.35">
      <c r="A47" s="22" t="s">
        <v>22</v>
      </c>
      <c r="B47" s="23">
        <f>SUM(B43:B46)</f>
        <v>7808</v>
      </c>
      <c r="C47" s="23">
        <f>AVERAGE(C43:C46)</f>
        <v>1.85</v>
      </c>
      <c r="D47" s="23">
        <f>SUM(D43:D46)</f>
        <v>1450.8000000000002</v>
      </c>
      <c r="E47" s="23">
        <f>SUM(E43:E46)</f>
        <v>640.4</v>
      </c>
      <c r="F47" s="23">
        <f>SUM(F43:F46)</f>
        <v>104.4</v>
      </c>
      <c r="G47" s="23">
        <f>AVERAGE(G43:G46)</f>
        <v>236.75</v>
      </c>
      <c r="H47" s="23">
        <f>AVERAGE(H43:H46)</f>
        <v>174.75</v>
      </c>
      <c r="I47" s="23">
        <f>MAX(I43:I46)</f>
        <v>543</v>
      </c>
      <c r="J47" s="23">
        <f>MAX(J43:J46)</f>
        <v>628</v>
      </c>
      <c r="K47" s="23">
        <f>MAX(K43:K46)</f>
        <v>778</v>
      </c>
      <c r="L47" s="23">
        <f>MIN(L43:L46)</f>
        <v>110</v>
      </c>
      <c r="M47" s="23">
        <f>MAX(M43:M46)</f>
        <v>841</v>
      </c>
      <c r="N47" s="23"/>
    </row>
    <row r="48" spans="1:14" ht="7.5" customHeight="1" x14ac:dyDescent="0.35"/>
    <row r="49" spans="1:14" ht="19.5" customHeight="1" x14ac:dyDescent="0.35">
      <c r="A49" s="1" t="s">
        <v>0</v>
      </c>
      <c r="B49" s="1"/>
      <c r="C49" s="1"/>
      <c r="D49" s="5" t="s">
        <v>31</v>
      </c>
      <c r="E49" s="5"/>
      <c r="F49" s="5"/>
      <c r="G49" s="5"/>
      <c r="H49" s="4" t="s">
        <v>32</v>
      </c>
      <c r="I49" s="4"/>
      <c r="J49" s="4"/>
      <c r="K49" s="4"/>
      <c r="L49" s="4"/>
      <c r="M49" s="4"/>
      <c r="N49" s="4"/>
    </row>
    <row r="50" spans="1:14" ht="19.5" customHeight="1" x14ac:dyDescent="0.35">
      <c r="A50" s="1" t="s">
        <v>3</v>
      </c>
      <c r="B50" s="1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27.75" customHeight="1" x14ac:dyDescent="0.35">
      <c r="A51" s="19" t="s">
        <v>4</v>
      </c>
      <c r="B51" s="19" t="s">
        <v>5</v>
      </c>
      <c r="C51" s="19" t="s">
        <v>6</v>
      </c>
      <c r="D51" s="19" t="s">
        <v>7</v>
      </c>
      <c r="E51" s="19" t="s">
        <v>8</v>
      </c>
      <c r="F51" s="19" t="s">
        <v>9</v>
      </c>
      <c r="G51" s="19" t="s">
        <v>10</v>
      </c>
      <c r="H51" s="19" t="s">
        <v>11</v>
      </c>
      <c r="I51" s="19" t="s">
        <v>12</v>
      </c>
      <c r="J51" s="19" t="s">
        <v>13</v>
      </c>
      <c r="K51" s="19" t="s">
        <v>14</v>
      </c>
      <c r="L51" s="19" t="s">
        <v>15</v>
      </c>
      <c r="M51" s="19" t="s">
        <v>16</v>
      </c>
      <c r="N51" s="19" t="s">
        <v>17</v>
      </c>
    </row>
    <row r="52" spans="1:14" ht="18" customHeight="1" x14ac:dyDescent="0.35">
      <c r="A52" s="20" t="s">
        <v>18</v>
      </c>
      <c r="B52" s="21">
        <v>1543</v>
      </c>
      <c r="C52" s="21">
        <v>0.6</v>
      </c>
      <c r="D52" s="21">
        <v>356</v>
      </c>
      <c r="E52" s="21">
        <v>208.3</v>
      </c>
      <c r="F52" s="21">
        <v>23.3</v>
      </c>
      <c r="G52" s="21">
        <v>342</v>
      </c>
      <c r="H52" s="21">
        <v>193</v>
      </c>
      <c r="I52" s="21">
        <v>442</v>
      </c>
      <c r="J52" s="21">
        <v>494</v>
      </c>
      <c r="K52" s="21">
        <v>606</v>
      </c>
      <c r="L52" s="21">
        <v>168</v>
      </c>
      <c r="M52" s="21">
        <v>682</v>
      </c>
      <c r="N52" s="21"/>
    </row>
    <row r="53" spans="1:14" ht="18" customHeight="1" x14ac:dyDescent="0.35">
      <c r="A53" s="10" t="s">
        <v>19</v>
      </c>
      <c r="B53" s="11">
        <v>1403</v>
      </c>
      <c r="C53" s="11">
        <v>2.2999999999999998</v>
      </c>
      <c r="D53" s="11">
        <v>325.89999999999998</v>
      </c>
      <c r="E53" s="11">
        <v>194.8</v>
      </c>
      <c r="F53" s="11">
        <v>29.3</v>
      </c>
      <c r="G53" s="11">
        <v>242</v>
      </c>
      <c r="H53" s="11">
        <v>205</v>
      </c>
      <c r="I53" s="11">
        <v>384</v>
      </c>
      <c r="J53" s="11">
        <v>438</v>
      </c>
      <c r="K53" s="11">
        <v>522</v>
      </c>
      <c r="L53" s="11">
        <v>100</v>
      </c>
      <c r="M53" s="11">
        <v>642</v>
      </c>
      <c r="N53" s="11"/>
    </row>
    <row r="54" spans="1:14" ht="18" customHeight="1" x14ac:dyDescent="0.35">
      <c r="A54" s="20" t="s">
        <v>20</v>
      </c>
      <c r="B54" s="21">
        <v>1601</v>
      </c>
      <c r="C54" s="21">
        <v>1.9</v>
      </c>
      <c r="D54" s="21">
        <v>407.4</v>
      </c>
      <c r="E54" s="21">
        <v>143.4</v>
      </c>
      <c r="F54" s="21">
        <v>27.9</v>
      </c>
      <c r="G54" s="21">
        <v>298</v>
      </c>
      <c r="H54" s="21">
        <v>208</v>
      </c>
      <c r="I54" s="21">
        <v>409</v>
      </c>
      <c r="J54" s="21">
        <v>454</v>
      </c>
      <c r="K54" s="21">
        <v>612</v>
      </c>
      <c r="L54" s="21">
        <v>194</v>
      </c>
      <c r="M54" s="21">
        <v>678</v>
      </c>
      <c r="N54" s="21"/>
    </row>
    <row r="55" spans="1:14" ht="18" customHeight="1" x14ac:dyDescent="0.35">
      <c r="A55" s="10" t="s">
        <v>21</v>
      </c>
      <c r="B55" s="11">
        <v>2136</v>
      </c>
      <c r="C55" s="11">
        <v>1</v>
      </c>
      <c r="D55" s="11">
        <v>442.3</v>
      </c>
      <c r="E55" s="11">
        <v>208.9</v>
      </c>
      <c r="F55" s="11">
        <v>24.1</v>
      </c>
      <c r="G55" s="11">
        <v>310</v>
      </c>
      <c r="H55" s="11">
        <v>211</v>
      </c>
      <c r="I55" s="11">
        <v>452</v>
      </c>
      <c r="J55" s="11">
        <v>545</v>
      </c>
      <c r="K55" s="11">
        <v>660</v>
      </c>
      <c r="L55" s="11">
        <v>167</v>
      </c>
      <c r="M55" s="11">
        <v>735</v>
      </c>
      <c r="N55" s="11"/>
    </row>
    <row r="56" spans="1:14" ht="19.5" customHeight="1" x14ac:dyDescent="0.35">
      <c r="A56" s="22" t="s">
        <v>22</v>
      </c>
      <c r="B56" s="23">
        <f>SUM(B52:B55)</f>
        <v>6683</v>
      </c>
      <c r="C56" s="23">
        <f>AVERAGE(C52:C55)</f>
        <v>1.45</v>
      </c>
      <c r="D56" s="23">
        <f>SUM(D52:D55)</f>
        <v>1531.6</v>
      </c>
      <c r="E56" s="23">
        <f>SUM(E52:E55)</f>
        <v>755.4</v>
      </c>
      <c r="F56" s="23">
        <f>SUM(F52:F55)</f>
        <v>104.6</v>
      </c>
      <c r="G56" s="23">
        <f>AVERAGE(G52:G55)</f>
        <v>298</v>
      </c>
      <c r="H56" s="23">
        <f>AVERAGE(H52:H55)</f>
        <v>204.25</v>
      </c>
      <c r="I56" s="23">
        <f>MAX(I52:I55)</f>
        <v>452</v>
      </c>
      <c r="J56" s="23">
        <f>MAX(J52:J55)</f>
        <v>545</v>
      </c>
      <c r="K56" s="23">
        <f>MAX(K52:K55)</f>
        <v>660</v>
      </c>
      <c r="L56" s="23">
        <f>MIN(L52:L55)</f>
        <v>100</v>
      </c>
      <c r="M56" s="23">
        <f>MAX(M52:M55)</f>
        <v>735</v>
      </c>
      <c r="N56" s="23"/>
    </row>
    <row r="57" spans="1:14" ht="7.5" customHeight="1" x14ac:dyDescent="0.35"/>
    <row r="58" spans="1:14" ht="19.5" customHeight="1" x14ac:dyDescent="0.35">
      <c r="A58" s="1" t="s">
        <v>0</v>
      </c>
      <c r="B58" s="1"/>
      <c r="C58" s="1"/>
      <c r="D58" s="5" t="s">
        <v>33</v>
      </c>
      <c r="E58" s="5"/>
      <c r="F58" s="5"/>
      <c r="G58" s="5"/>
      <c r="H58" s="4" t="s">
        <v>34</v>
      </c>
      <c r="I58" s="4"/>
      <c r="J58" s="4"/>
      <c r="K58" s="4"/>
      <c r="L58" s="4"/>
      <c r="M58" s="4"/>
      <c r="N58" s="4"/>
    </row>
    <row r="59" spans="1:14" ht="19.5" customHeight="1" x14ac:dyDescent="0.35">
      <c r="A59" s="1" t="s">
        <v>3</v>
      </c>
      <c r="B59" s="1"/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27.75" customHeight="1" x14ac:dyDescent="0.35">
      <c r="A60" s="19" t="s">
        <v>4</v>
      </c>
      <c r="B60" s="19" t="s">
        <v>5</v>
      </c>
      <c r="C60" s="19" t="s">
        <v>6</v>
      </c>
      <c r="D60" s="19" t="s">
        <v>7</v>
      </c>
      <c r="E60" s="19" t="s">
        <v>8</v>
      </c>
      <c r="F60" s="19" t="s">
        <v>9</v>
      </c>
      <c r="G60" s="19" t="s">
        <v>10</v>
      </c>
      <c r="H60" s="19" t="s">
        <v>11</v>
      </c>
      <c r="I60" s="19" t="s">
        <v>12</v>
      </c>
      <c r="J60" s="19" t="s">
        <v>13</v>
      </c>
      <c r="K60" s="19" t="s">
        <v>14</v>
      </c>
      <c r="L60" s="19" t="s">
        <v>15</v>
      </c>
      <c r="M60" s="19" t="s">
        <v>16</v>
      </c>
      <c r="N60" s="19" t="s">
        <v>17</v>
      </c>
    </row>
    <row r="61" spans="1:14" ht="18" customHeight="1" x14ac:dyDescent="0.35">
      <c r="A61" s="20" t="s">
        <v>18</v>
      </c>
      <c r="B61" s="21">
        <v>1477</v>
      </c>
      <c r="C61" s="21">
        <v>2.2000000000000002</v>
      </c>
      <c r="D61" s="21">
        <v>370.8</v>
      </c>
      <c r="E61" s="21">
        <v>208.7</v>
      </c>
      <c r="F61" s="21">
        <v>29.6</v>
      </c>
      <c r="G61" s="21">
        <v>317</v>
      </c>
      <c r="H61" s="21">
        <v>312</v>
      </c>
      <c r="I61" s="21">
        <v>497</v>
      </c>
      <c r="J61" s="21">
        <v>568</v>
      </c>
      <c r="K61" s="21">
        <v>717</v>
      </c>
      <c r="L61" s="21">
        <v>120</v>
      </c>
      <c r="M61" s="21">
        <v>768</v>
      </c>
      <c r="N61" s="21"/>
    </row>
    <row r="62" spans="1:14" ht="18" customHeight="1" x14ac:dyDescent="0.35">
      <c r="A62" s="10" t="s">
        <v>19</v>
      </c>
      <c r="B62" s="11">
        <v>1997</v>
      </c>
      <c r="C62" s="11">
        <v>1.8</v>
      </c>
      <c r="D62" s="11">
        <v>331.6</v>
      </c>
      <c r="E62" s="11">
        <v>118.2</v>
      </c>
      <c r="F62" s="11">
        <v>24.4</v>
      </c>
      <c r="G62" s="11">
        <v>288</v>
      </c>
      <c r="H62" s="11">
        <v>189</v>
      </c>
      <c r="I62" s="11">
        <v>444</v>
      </c>
      <c r="J62" s="11">
        <v>534</v>
      </c>
      <c r="K62" s="11">
        <v>644</v>
      </c>
      <c r="L62" s="11">
        <v>119</v>
      </c>
      <c r="M62" s="11">
        <v>755</v>
      </c>
      <c r="N62" s="11"/>
    </row>
    <row r="63" spans="1:14" ht="18" customHeight="1" x14ac:dyDescent="0.35">
      <c r="A63" s="20" t="s">
        <v>20</v>
      </c>
      <c r="B63" s="21">
        <v>1552</v>
      </c>
      <c r="C63" s="21">
        <v>1.6</v>
      </c>
      <c r="D63" s="21">
        <v>359.9</v>
      </c>
      <c r="E63" s="21">
        <v>127.1</v>
      </c>
      <c r="F63" s="21">
        <v>30.5</v>
      </c>
      <c r="G63" s="21">
        <v>284</v>
      </c>
      <c r="H63" s="21">
        <v>166</v>
      </c>
      <c r="I63" s="21">
        <v>443</v>
      </c>
      <c r="J63" s="21">
        <v>518</v>
      </c>
      <c r="K63" s="21">
        <v>641</v>
      </c>
      <c r="L63" s="21">
        <v>181</v>
      </c>
      <c r="M63" s="21">
        <v>750</v>
      </c>
      <c r="N63" s="21"/>
    </row>
    <row r="64" spans="1:14" ht="18" customHeight="1" x14ac:dyDescent="0.35">
      <c r="A64" s="10" t="s">
        <v>21</v>
      </c>
      <c r="B64" s="11">
        <v>2006</v>
      </c>
      <c r="C64" s="11">
        <v>3.4</v>
      </c>
      <c r="D64" s="11">
        <v>253.4</v>
      </c>
      <c r="E64" s="11">
        <v>116.8</v>
      </c>
      <c r="F64" s="11">
        <v>28.4</v>
      </c>
      <c r="G64" s="11">
        <v>164</v>
      </c>
      <c r="H64" s="11">
        <v>150</v>
      </c>
      <c r="I64" s="11">
        <v>323</v>
      </c>
      <c r="J64" s="11">
        <v>389</v>
      </c>
      <c r="K64" s="11">
        <v>511</v>
      </c>
      <c r="L64" s="11">
        <v>130</v>
      </c>
      <c r="M64" s="11">
        <v>606</v>
      </c>
      <c r="N64" s="11"/>
    </row>
    <row r="65" spans="1:14" ht="19.5" customHeight="1" x14ac:dyDescent="0.35">
      <c r="A65" s="22" t="s">
        <v>22</v>
      </c>
      <c r="B65" s="23">
        <f>SUM(B61:B64)</f>
        <v>7032</v>
      </c>
      <c r="C65" s="23">
        <f>AVERAGE(C61:C64)</f>
        <v>2.25</v>
      </c>
      <c r="D65" s="23">
        <f>SUM(D61:D64)</f>
        <v>1315.7000000000003</v>
      </c>
      <c r="E65" s="23">
        <f>SUM(E61:E64)</f>
        <v>570.79999999999995</v>
      </c>
      <c r="F65" s="23">
        <f>SUM(F61:F64)</f>
        <v>112.9</v>
      </c>
      <c r="G65" s="23">
        <f>AVERAGE(G61:G64)</f>
        <v>263.25</v>
      </c>
      <c r="H65" s="23">
        <f>AVERAGE(H61:H64)</f>
        <v>204.25</v>
      </c>
      <c r="I65" s="23">
        <f>MAX(I61:I64)</f>
        <v>497</v>
      </c>
      <c r="J65" s="23">
        <f>MAX(J61:J64)</f>
        <v>568</v>
      </c>
      <c r="K65" s="23">
        <f>MAX(K61:K64)</f>
        <v>717</v>
      </c>
      <c r="L65" s="23">
        <f>MIN(L61:L64)</f>
        <v>119</v>
      </c>
      <c r="M65" s="23">
        <f>MAX(M61:M64)</f>
        <v>768</v>
      </c>
      <c r="N65" s="23"/>
    </row>
    <row r="66" spans="1:14" ht="7.5" customHeight="1" x14ac:dyDescent="0.35"/>
    <row r="67" spans="1:14" ht="19.5" customHeight="1" x14ac:dyDescent="0.35">
      <c r="A67" s="1" t="s">
        <v>0</v>
      </c>
      <c r="B67" s="1"/>
      <c r="C67" s="1"/>
      <c r="D67" s="5" t="s">
        <v>35</v>
      </c>
      <c r="E67" s="5"/>
      <c r="F67" s="5"/>
      <c r="G67" s="5"/>
      <c r="H67" s="4" t="s">
        <v>36</v>
      </c>
      <c r="I67" s="4"/>
      <c r="J67" s="4"/>
      <c r="K67" s="4"/>
      <c r="L67" s="4"/>
      <c r="M67" s="4"/>
      <c r="N67" s="4"/>
    </row>
    <row r="68" spans="1:14" ht="19.5" customHeight="1" x14ac:dyDescent="0.35">
      <c r="A68" s="1" t="s">
        <v>3</v>
      </c>
      <c r="B68" s="1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27.75" customHeight="1" x14ac:dyDescent="0.35">
      <c r="A69" s="19" t="s">
        <v>4</v>
      </c>
      <c r="B69" s="19" t="s">
        <v>5</v>
      </c>
      <c r="C69" s="19" t="s">
        <v>6</v>
      </c>
      <c r="D69" s="19" t="s">
        <v>7</v>
      </c>
      <c r="E69" s="19" t="s">
        <v>8</v>
      </c>
      <c r="F69" s="19" t="s">
        <v>9</v>
      </c>
      <c r="G69" s="19" t="s">
        <v>10</v>
      </c>
      <c r="H69" s="19" t="s">
        <v>11</v>
      </c>
      <c r="I69" s="19" t="s">
        <v>12</v>
      </c>
      <c r="J69" s="19" t="s">
        <v>13</v>
      </c>
      <c r="K69" s="19" t="s">
        <v>14</v>
      </c>
      <c r="L69" s="19" t="s">
        <v>15</v>
      </c>
      <c r="M69" s="19" t="s">
        <v>16</v>
      </c>
      <c r="N69" s="19" t="s">
        <v>17</v>
      </c>
    </row>
    <row r="70" spans="1:14" ht="18" customHeight="1" x14ac:dyDescent="0.35">
      <c r="A70" s="20" t="s">
        <v>18</v>
      </c>
      <c r="B70" s="21">
        <v>1700</v>
      </c>
      <c r="C70" s="21">
        <v>1.4</v>
      </c>
      <c r="D70" s="21">
        <v>323.2</v>
      </c>
      <c r="E70" s="21">
        <v>190.7</v>
      </c>
      <c r="F70" s="21">
        <v>22.8</v>
      </c>
      <c r="G70" s="21">
        <v>270</v>
      </c>
      <c r="H70" s="21">
        <v>181</v>
      </c>
      <c r="I70" s="21">
        <v>435</v>
      </c>
      <c r="J70" s="21">
        <v>486</v>
      </c>
      <c r="K70" s="21">
        <v>602</v>
      </c>
      <c r="L70" s="21">
        <v>185</v>
      </c>
      <c r="M70" s="21">
        <v>692</v>
      </c>
      <c r="N70" s="21"/>
    </row>
    <row r="71" spans="1:14" ht="18" customHeight="1" x14ac:dyDescent="0.35">
      <c r="A71" s="10" t="s">
        <v>19</v>
      </c>
      <c r="B71" s="11">
        <v>1769</v>
      </c>
      <c r="C71" s="11">
        <v>1.5</v>
      </c>
      <c r="D71" s="11">
        <v>315.7</v>
      </c>
      <c r="E71" s="11">
        <v>118.1</v>
      </c>
      <c r="F71" s="11">
        <v>24.3</v>
      </c>
      <c r="G71" s="11">
        <v>302</v>
      </c>
      <c r="H71" s="11">
        <v>191</v>
      </c>
      <c r="I71" s="11">
        <v>492</v>
      </c>
      <c r="J71" s="11">
        <v>549</v>
      </c>
      <c r="K71" s="11">
        <v>635</v>
      </c>
      <c r="L71" s="11">
        <v>168</v>
      </c>
      <c r="M71" s="11">
        <v>744</v>
      </c>
      <c r="N71" s="11"/>
    </row>
    <row r="72" spans="1:14" ht="18" customHeight="1" x14ac:dyDescent="0.35">
      <c r="A72" s="20" t="s">
        <v>20</v>
      </c>
      <c r="B72" s="21">
        <v>1235</v>
      </c>
      <c r="C72" s="21">
        <v>2.7</v>
      </c>
      <c r="D72" s="21">
        <v>330.7</v>
      </c>
      <c r="E72" s="21">
        <v>186.8</v>
      </c>
      <c r="F72" s="21">
        <v>27</v>
      </c>
      <c r="G72" s="21">
        <v>196</v>
      </c>
      <c r="H72" s="21">
        <v>151</v>
      </c>
      <c r="I72" s="21">
        <v>379</v>
      </c>
      <c r="J72" s="21">
        <v>435</v>
      </c>
      <c r="K72" s="21">
        <v>516</v>
      </c>
      <c r="L72" s="21">
        <v>124</v>
      </c>
      <c r="M72" s="21">
        <v>583</v>
      </c>
      <c r="N72" s="21"/>
    </row>
    <row r="73" spans="1:14" ht="18" customHeight="1" x14ac:dyDescent="0.35">
      <c r="A73" s="10" t="s">
        <v>21</v>
      </c>
      <c r="B73" s="11">
        <v>1632</v>
      </c>
      <c r="C73" s="11">
        <v>1.6</v>
      </c>
      <c r="D73" s="11">
        <v>449.5</v>
      </c>
      <c r="E73" s="11">
        <v>154.6</v>
      </c>
      <c r="F73" s="11">
        <v>29.3</v>
      </c>
      <c r="G73" s="11">
        <v>282</v>
      </c>
      <c r="H73" s="11">
        <v>169</v>
      </c>
      <c r="I73" s="11">
        <v>402</v>
      </c>
      <c r="J73" s="11">
        <v>476</v>
      </c>
      <c r="K73" s="11">
        <v>595</v>
      </c>
      <c r="L73" s="11">
        <v>132</v>
      </c>
      <c r="M73" s="11">
        <v>732</v>
      </c>
      <c r="N73" s="11"/>
    </row>
    <row r="74" spans="1:14" ht="19.5" customHeight="1" x14ac:dyDescent="0.35">
      <c r="A74" s="22" t="s">
        <v>22</v>
      </c>
      <c r="B74" s="23">
        <f>SUM(B70:B73)</f>
        <v>6336</v>
      </c>
      <c r="C74" s="23">
        <f>AVERAGE(C70:C73)</f>
        <v>1.7999999999999998</v>
      </c>
      <c r="D74" s="23">
        <f>SUM(D70:D73)</f>
        <v>1419.1</v>
      </c>
      <c r="E74" s="23">
        <f>SUM(E70:E73)</f>
        <v>650.19999999999993</v>
      </c>
      <c r="F74" s="23">
        <f>SUM(F70:F73)</f>
        <v>103.39999999999999</v>
      </c>
      <c r="G74" s="23">
        <f>AVERAGE(G70:G73)</f>
        <v>262.5</v>
      </c>
      <c r="H74" s="23">
        <f>AVERAGE(H70:H73)</f>
        <v>173</v>
      </c>
      <c r="I74" s="23">
        <f>MAX(I70:I73)</f>
        <v>492</v>
      </c>
      <c r="J74" s="23">
        <f>MAX(J70:J73)</f>
        <v>549</v>
      </c>
      <c r="K74" s="23">
        <f>MAX(K70:K73)</f>
        <v>635</v>
      </c>
      <c r="L74" s="23">
        <f>MIN(L70:L73)</f>
        <v>124</v>
      </c>
      <c r="M74" s="23">
        <f>MAX(M70:M73)</f>
        <v>744</v>
      </c>
      <c r="N74" s="23"/>
    </row>
    <row r="75" spans="1:14" ht="7.5" customHeight="1" x14ac:dyDescent="0.35"/>
    <row r="76" spans="1:14" ht="19.5" customHeight="1" x14ac:dyDescent="0.35">
      <c r="A76" s="1" t="s">
        <v>0</v>
      </c>
      <c r="B76" s="1"/>
      <c r="C76" s="1"/>
      <c r="D76" s="5" t="s">
        <v>37</v>
      </c>
      <c r="E76" s="5"/>
      <c r="F76" s="5"/>
      <c r="G76" s="5"/>
      <c r="H76" s="4" t="s">
        <v>38</v>
      </c>
      <c r="I76" s="4"/>
      <c r="J76" s="4"/>
      <c r="K76" s="4"/>
      <c r="L76" s="4"/>
      <c r="M76" s="4"/>
      <c r="N76" s="4"/>
    </row>
    <row r="77" spans="1:14" ht="19.5" customHeight="1" x14ac:dyDescent="0.35">
      <c r="A77" s="1" t="s">
        <v>3</v>
      </c>
      <c r="B77" s="1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27.75" customHeight="1" x14ac:dyDescent="0.35">
      <c r="A78" s="19" t="s">
        <v>4</v>
      </c>
      <c r="B78" s="19" t="s">
        <v>5</v>
      </c>
      <c r="C78" s="19" t="s">
        <v>6</v>
      </c>
      <c r="D78" s="19" t="s">
        <v>7</v>
      </c>
      <c r="E78" s="19" t="s">
        <v>8</v>
      </c>
      <c r="F78" s="19" t="s">
        <v>9</v>
      </c>
      <c r="G78" s="19" t="s">
        <v>10</v>
      </c>
      <c r="H78" s="19" t="s">
        <v>11</v>
      </c>
      <c r="I78" s="19" t="s">
        <v>12</v>
      </c>
      <c r="J78" s="19" t="s">
        <v>13</v>
      </c>
      <c r="K78" s="19" t="s">
        <v>14</v>
      </c>
      <c r="L78" s="19" t="s">
        <v>15</v>
      </c>
      <c r="M78" s="19" t="s">
        <v>16</v>
      </c>
      <c r="N78" s="19" t="s">
        <v>17</v>
      </c>
    </row>
    <row r="79" spans="1:14" ht="18" customHeight="1" x14ac:dyDescent="0.35">
      <c r="A79" s="20" t="s">
        <v>18</v>
      </c>
      <c r="B79" s="21">
        <v>1959</v>
      </c>
      <c r="C79" s="21">
        <v>3.2</v>
      </c>
      <c r="D79" s="21">
        <v>401</v>
      </c>
      <c r="E79" s="21">
        <v>186.2</v>
      </c>
      <c r="F79" s="21">
        <v>31.8</v>
      </c>
      <c r="G79" s="21">
        <v>246</v>
      </c>
      <c r="H79" s="21">
        <v>227</v>
      </c>
      <c r="I79" s="21">
        <v>445</v>
      </c>
      <c r="J79" s="21">
        <v>509</v>
      </c>
      <c r="K79" s="21">
        <v>621</v>
      </c>
      <c r="L79" s="21">
        <v>117</v>
      </c>
      <c r="M79" s="21">
        <v>730</v>
      </c>
      <c r="N79" s="21"/>
    </row>
    <row r="80" spans="1:14" ht="18" customHeight="1" x14ac:dyDescent="0.35">
      <c r="A80" s="10" t="s">
        <v>19</v>
      </c>
      <c r="B80" s="11">
        <v>1653</v>
      </c>
      <c r="C80" s="11">
        <v>3.1</v>
      </c>
      <c r="D80" s="11">
        <v>425.1</v>
      </c>
      <c r="E80" s="11">
        <v>110.6</v>
      </c>
      <c r="F80" s="11">
        <v>26.2</v>
      </c>
      <c r="G80" s="11">
        <v>296</v>
      </c>
      <c r="H80" s="11">
        <v>232</v>
      </c>
      <c r="I80" s="11">
        <v>466</v>
      </c>
      <c r="J80" s="11">
        <v>515</v>
      </c>
      <c r="K80" s="11">
        <v>647</v>
      </c>
      <c r="L80" s="11">
        <v>182</v>
      </c>
      <c r="M80" s="11">
        <v>769</v>
      </c>
      <c r="N80" s="11"/>
    </row>
    <row r="81" spans="1:14" ht="18" customHeight="1" x14ac:dyDescent="0.35">
      <c r="A81" s="20" t="s">
        <v>20</v>
      </c>
      <c r="B81" s="21">
        <v>1963</v>
      </c>
      <c r="C81" s="21">
        <v>1.5</v>
      </c>
      <c r="D81" s="21">
        <v>276</v>
      </c>
      <c r="E81" s="21">
        <v>184.2</v>
      </c>
      <c r="F81" s="21">
        <v>20.2</v>
      </c>
      <c r="G81" s="21">
        <v>222</v>
      </c>
      <c r="H81" s="21">
        <v>167</v>
      </c>
      <c r="I81" s="21">
        <v>346</v>
      </c>
      <c r="J81" s="21">
        <v>407</v>
      </c>
      <c r="K81" s="21">
        <v>509</v>
      </c>
      <c r="L81" s="21">
        <v>124</v>
      </c>
      <c r="M81" s="21">
        <v>581</v>
      </c>
      <c r="N81" s="21"/>
    </row>
    <row r="82" spans="1:14" ht="18" customHeight="1" x14ac:dyDescent="0.35">
      <c r="A82" s="10" t="s">
        <v>21</v>
      </c>
      <c r="B82" s="11">
        <v>1961</v>
      </c>
      <c r="C82" s="11">
        <v>1.4</v>
      </c>
      <c r="D82" s="11">
        <v>258.5</v>
      </c>
      <c r="E82" s="11">
        <v>207.8</v>
      </c>
      <c r="F82" s="11">
        <v>18.7</v>
      </c>
      <c r="G82" s="11">
        <v>256</v>
      </c>
      <c r="H82" s="11">
        <v>250</v>
      </c>
      <c r="I82" s="11">
        <v>374</v>
      </c>
      <c r="J82" s="11">
        <v>457</v>
      </c>
      <c r="K82" s="11">
        <v>546</v>
      </c>
      <c r="L82" s="11">
        <v>131</v>
      </c>
      <c r="M82" s="11">
        <v>649</v>
      </c>
      <c r="N82" s="11"/>
    </row>
    <row r="83" spans="1:14" ht="19.5" customHeight="1" x14ac:dyDescent="0.35">
      <c r="A83" s="22" t="s">
        <v>22</v>
      </c>
      <c r="B83" s="23">
        <f>SUM(B79:B82)</f>
        <v>7536</v>
      </c>
      <c r="C83" s="23">
        <f>AVERAGE(C79:C82)</f>
        <v>2.3000000000000003</v>
      </c>
      <c r="D83" s="23">
        <f>SUM(D79:D82)</f>
        <v>1360.6</v>
      </c>
      <c r="E83" s="23">
        <f>SUM(E79:E82)</f>
        <v>688.8</v>
      </c>
      <c r="F83" s="23">
        <f>SUM(F79:F82)</f>
        <v>96.9</v>
      </c>
      <c r="G83" s="23">
        <f>AVERAGE(G79:G82)</f>
        <v>255</v>
      </c>
      <c r="H83" s="23">
        <f>AVERAGE(H79:H82)</f>
        <v>219</v>
      </c>
      <c r="I83" s="23">
        <f>MAX(I79:I82)</f>
        <v>466</v>
      </c>
      <c r="J83" s="23">
        <f>MAX(J79:J82)</f>
        <v>515</v>
      </c>
      <c r="K83" s="23">
        <f>MAX(K79:K82)</f>
        <v>647</v>
      </c>
      <c r="L83" s="23">
        <f>MIN(L79:L82)</f>
        <v>117</v>
      </c>
      <c r="M83" s="23">
        <f>MAX(M79:M82)</f>
        <v>769</v>
      </c>
      <c r="N83" s="23"/>
    </row>
    <row r="84" spans="1:14" ht="7.5" customHeight="1" x14ac:dyDescent="0.35"/>
    <row r="85" spans="1:14" ht="19.5" customHeight="1" x14ac:dyDescent="0.35">
      <c r="A85" s="1" t="s">
        <v>0</v>
      </c>
      <c r="B85" s="1"/>
      <c r="C85" s="1"/>
      <c r="D85" s="5" t="s">
        <v>39</v>
      </c>
      <c r="E85" s="5"/>
      <c r="F85" s="5"/>
      <c r="G85" s="5"/>
      <c r="H85" s="4" t="s">
        <v>40</v>
      </c>
      <c r="I85" s="4"/>
      <c r="J85" s="4"/>
      <c r="K85" s="4"/>
      <c r="L85" s="4"/>
      <c r="M85" s="4"/>
      <c r="N85" s="4"/>
    </row>
    <row r="86" spans="1:14" ht="19.5" customHeight="1" x14ac:dyDescent="0.35">
      <c r="A86" s="1" t="s">
        <v>3</v>
      </c>
      <c r="B86" s="1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27.75" customHeight="1" x14ac:dyDescent="0.35">
      <c r="A87" s="19" t="s">
        <v>4</v>
      </c>
      <c r="B87" s="19" t="s">
        <v>5</v>
      </c>
      <c r="C87" s="19" t="s">
        <v>6</v>
      </c>
      <c r="D87" s="19" t="s">
        <v>7</v>
      </c>
      <c r="E87" s="19" t="s">
        <v>8</v>
      </c>
      <c r="F87" s="19" t="s">
        <v>9</v>
      </c>
      <c r="G87" s="19" t="s">
        <v>10</v>
      </c>
      <c r="H87" s="19" t="s">
        <v>11</v>
      </c>
      <c r="I87" s="19" t="s">
        <v>12</v>
      </c>
      <c r="J87" s="19" t="s">
        <v>13</v>
      </c>
      <c r="K87" s="19" t="s">
        <v>14</v>
      </c>
      <c r="L87" s="19" t="s">
        <v>15</v>
      </c>
      <c r="M87" s="19" t="s">
        <v>16</v>
      </c>
      <c r="N87" s="19" t="s">
        <v>17</v>
      </c>
    </row>
    <row r="88" spans="1:14" ht="18" customHeight="1" x14ac:dyDescent="0.35">
      <c r="A88" s="20" t="s">
        <v>18</v>
      </c>
      <c r="B88" s="21">
        <v>2067</v>
      </c>
      <c r="C88" s="21">
        <v>1</v>
      </c>
      <c r="D88" s="21">
        <v>412.7</v>
      </c>
      <c r="E88" s="21">
        <v>183.1</v>
      </c>
      <c r="F88" s="21">
        <v>28.3</v>
      </c>
      <c r="G88" s="21">
        <v>164</v>
      </c>
      <c r="H88" s="21">
        <v>159</v>
      </c>
      <c r="I88" s="21">
        <v>346</v>
      </c>
      <c r="J88" s="21">
        <v>440</v>
      </c>
      <c r="K88" s="21">
        <v>537</v>
      </c>
      <c r="L88" s="21">
        <v>105</v>
      </c>
      <c r="M88" s="21">
        <v>648</v>
      </c>
      <c r="N88" s="21"/>
    </row>
    <row r="89" spans="1:14" ht="18" customHeight="1" x14ac:dyDescent="0.35">
      <c r="A89" s="10" t="s">
        <v>19</v>
      </c>
      <c r="B89" s="11">
        <v>1758</v>
      </c>
      <c r="C89" s="11">
        <v>1.4</v>
      </c>
      <c r="D89" s="11">
        <v>381.4</v>
      </c>
      <c r="E89" s="11">
        <v>197.7</v>
      </c>
      <c r="F89" s="11">
        <v>23.9</v>
      </c>
      <c r="G89" s="11">
        <v>225</v>
      </c>
      <c r="H89" s="11">
        <v>205</v>
      </c>
      <c r="I89" s="11">
        <v>368</v>
      </c>
      <c r="J89" s="11">
        <v>466</v>
      </c>
      <c r="K89" s="11">
        <v>624</v>
      </c>
      <c r="L89" s="11">
        <v>123</v>
      </c>
      <c r="M89" s="11">
        <v>761</v>
      </c>
      <c r="N89" s="11"/>
    </row>
    <row r="90" spans="1:14" ht="18" customHeight="1" x14ac:dyDescent="0.35">
      <c r="A90" s="20" t="s">
        <v>20</v>
      </c>
      <c r="B90" s="21">
        <v>1785</v>
      </c>
      <c r="C90" s="21">
        <v>1.9</v>
      </c>
      <c r="D90" s="21">
        <v>365.3</v>
      </c>
      <c r="E90" s="21">
        <v>112</v>
      </c>
      <c r="F90" s="21">
        <v>20.399999999999999</v>
      </c>
      <c r="G90" s="21">
        <v>160</v>
      </c>
      <c r="H90" s="21">
        <v>159</v>
      </c>
      <c r="I90" s="21">
        <v>354</v>
      </c>
      <c r="J90" s="21">
        <v>437</v>
      </c>
      <c r="K90" s="21">
        <v>522</v>
      </c>
      <c r="L90" s="21">
        <v>174</v>
      </c>
      <c r="M90" s="21">
        <v>593</v>
      </c>
      <c r="N90" s="21"/>
    </row>
    <row r="91" spans="1:14" ht="18" customHeight="1" x14ac:dyDescent="0.35">
      <c r="A91" s="10" t="s">
        <v>21</v>
      </c>
      <c r="B91" s="11">
        <v>1588</v>
      </c>
      <c r="C91" s="11">
        <v>1.4</v>
      </c>
      <c r="D91" s="11">
        <v>427.3</v>
      </c>
      <c r="E91" s="11">
        <v>185.1</v>
      </c>
      <c r="F91" s="11">
        <v>23.5</v>
      </c>
      <c r="G91" s="11">
        <v>242</v>
      </c>
      <c r="H91" s="11">
        <v>180</v>
      </c>
      <c r="I91" s="11">
        <v>388</v>
      </c>
      <c r="J91" s="11">
        <v>436</v>
      </c>
      <c r="K91" s="11">
        <v>572</v>
      </c>
      <c r="L91" s="11">
        <v>110</v>
      </c>
      <c r="M91" s="11">
        <v>678</v>
      </c>
      <c r="N91" s="11"/>
    </row>
    <row r="92" spans="1:14" ht="19.5" customHeight="1" x14ac:dyDescent="0.35">
      <c r="A92" s="22" t="s">
        <v>22</v>
      </c>
      <c r="B92" s="23">
        <f>SUM(B88:B91)</f>
        <v>7198</v>
      </c>
      <c r="C92" s="23">
        <f>AVERAGE(C88:C91)</f>
        <v>1.4249999999999998</v>
      </c>
      <c r="D92" s="23">
        <f>SUM(D88:D91)</f>
        <v>1586.6999999999998</v>
      </c>
      <c r="E92" s="23">
        <f>SUM(E88:E91)</f>
        <v>677.9</v>
      </c>
      <c r="F92" s="23">
        <f>SUM(F88:F91)</f>
        <v>96.1</v>
      </c>
      <c r="G92" s="23">
        <f>AVERAGE(G88:G91)</f>
        <v>197.75</v>
      </c>
      <c r="H92" s="23">
        <f>AVERAGE(H88:H91)</f>
        <v>175.75</v>
      </c>
      <c r="I92" s="23">
        <f>MAX(I88:I91)</f>
        <v>388</v>
      </c>
      <c r="J92" s="23">
        <f>MAX(J88:J91)</f>
        <v>466</v>
      </c>
      <c r="K92" s="23">
        <f>MAX(K88:K91)</f>
        <v>624</v>
      </c>
      <c r="L92" s="23">
        <f>MIN(L88:L91)</f>
        <v>105</v>
      </c>
      <c r="M92" s="23">
        <f>MAX(M88:M91)</f>
        <v>761</v>
      </c>
      <c r="N92" s="23"/>
    </row>
    <row r="93" spans="1:14" ht="7.5" customHeight="1" x14ac:dyDescent="0.35"/>
    <row r="94" spans="1:14" ht="19.5" customHeight="1" x14ac:dyDescent="0.35">
      <c r="A94" s="1" t="s">
        <v>0</v>
      </c>
      <c r="B94" s="1"/>
      <c r="C94" s="1"/>
      <c r="D94" s="5" t="s">
        <v>41</v>
      </c>
      <c r="E94" s="5"/>
      <c r="F94" s="5"/>
      <c r="G94" s="5"/>
      <c r="H94" s="4" t="s">
        <v>42</v>
      </c>
      <c r="I94" s="4"/>
      <c r="J94" s="4"/>
      <c r="K94" s="4"/>
      <c r="L94" s="4"/>
      <c r="M94" s="4"/>
      <c r="N94" s="4"/>
    </row>
    <row r="95" spans="1:14" ht="19.5" customHeight="1" x14ac:dyDescent="0.35">
      <c r="A95" s="1" t="s">
        <v>3</v>
      </c>
      <c r="B95" s="1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27.75" customHeight="1" x14ac:dyDescent="0.35">
      <c r="A96" s="19" t="s">
        <v>4</v>
      </c>
      <c r="B96" s="19" t="s">
        <v>5</v>
      </c>
      <c r="C96" s="19" t="s">
        <v>6</v>
      </c>
      <c r="D96" s="19" t="s">
        <v>7</v>
      </c>
      <c r="E96" s="19" t="s">
        <v>8</v>
      </c>
      <c r="F96" s="19" t="s">
        <v>9</v>
      </c>
      <c r="G96" s="19" t="s">
        <v>10</v>
      </c>
      <c r="H96" s="19" t="s">
        <v>11</v>
      </c>
      <c r="I96" s="19" t="s">
        <v>12</v>
      </c>
      <c r="J96" s="19" t="s">
        <v>13</v>
      </c>
      <c r="K96" s="19" t="s">
        <v>14</v>
      </c>
      <c r="L96" s="19" t="s">
        <v>15</v>
      </c>
      <c r="M96" s="19" t="s">
        <v>16</v>
      </c>
      <c r="N96" s="19" t="s">
        <v>17</v>
      </c>
    </row>
    <row r="97" spans="1:14" ht="18" customHeight="1" x14ac:dyDescent="0.35">
      <c r="A97" s="20" t="s">
        <v>18</v>
      </c>
      <c r="B97" s="21">
        <v>2123</v>
      </c>
      <c r="C97" s="21">
        <v>0.8</v>
      </c>
      <c r="D97" s="21">
        <v>287.39999999999998</v>
      </c>
      <c r="E97" s="21">
        <v>176.2</v>
      </c>
      <c r="F97" s="21">
        <v>17.899999999999999</v>
      </c>
      <c r="G97" s="21">
        <v>354</v>
      </c>
      <c r="H97" s="21">
        <v>300</v>
      </c>
      <c r="I97" s="21">
        <v>470</v>
      </c>
      <c r="J97" s="21">
        <v>549</v>
      </c>
      <c r="K97" s="21">
        <v>689</v>
      </c>
      <c r="L97" s="21">
        <v>138</v>
      </c>
      <c r="M97" s="21">
        <v>813</v>
      </c>
      <c r="N97" s="21"/>
    </row>
    <row r="98" spans="1:14" ht="18" customHeight="1" x14ac:dyDescent="0.35">
      <c r="A98" s="10" t="s">
        <v>19</v>
      </c>
      <c r="B98" s="11">
        <v>1838</v>
      </c>
      <c r="C98" s="11">
        <v>2.2000000000000002</v>
      </c>
      <c r="D98" s="11">
        <v>291.39999999999998</v>
      </c>
      <c r="E98" s="11">
        <v>134.30000000000001</v>
      </c>
      <c r="F98" s="11">
        <v>27.2</v>
      </c>
      <c r="G98" s="11">
        <v>367</v>
      </c>
      <c r="H98" s="11">
        <v>367</v>
      </c>
      <c r="I98" s="11">
        <v>506</v>
      </c>
      <c r="J98" s="11">
        <v>600</v>
      </c>
      <c r="K98" s="11">
        <v>692</v>
      </c>
      <c r="L98" s="11">
        <v>109</v>
      </c>
      <c r="M98" s="11">
        <v>761</v>
      </c>
      <c r="N98" s="11"/>
    </row>
    <row r="99" spans="1:14" ht="18" customHeight="1" x14ac:dyDescent="0.35">
      <c r="A99" s="20" t="s">
        <v>20</v>
      </c>
      <c r="B99" s="21">
        <v>1666</v>
      </c>
      <c r="C99" s="21">
        <v>1.9</v>
      </c>
      <c r="D99" s="21">
        <v>293.10000000000002</v>
      </c>
      <c r="E99" s="21">
        <v>172.1</v>
      </c>
      <c r="F99" s="21">
        <v>15.7</v>
      </c>
      <c r="G99" s="21">
        <v>291</v>
      </c>
      <c r="H99" s="21">
        <v>201</v>
      </c>
      <c r="I99" s="21">
        <v>479</v>
      </c>
      <c r="J99" s="21">
        <v>562</v>
      </c>
      <c r="K99" s="21">
        <v>650</v>
      </c>
      <c r="L99" s="21">
        <v>159</v>
      </c>
      <c r="M99" s="21">
        <v>751</v>
      </c>
      <c r="N99" s="21"/>
    </row>
    <row r="100" spans="1:14" ht="18" customHeight="1" x14ac:dyDescent="0.35">
      <c r="A100" s="10" t="s">
        <v>21</v>
      </c>
      <c r="B100" s="11">
        <v>1857</v>
      </c>
      <c r="C100" s="11">
        <v>1.1000000000000001</v>
      </c>
      <c r="D100" s="11">
        <v>329.5</v>
      </c>
      <c r="E100" s="11">
        <v>176</v>
      </c>
      <c r="F100" s="11">
        <v>31.8</v>
      </c>
      <c r="G100" s="11">
        <v>257</v>
      </c>
      <c r="H100" s="11">
        <v>158</v>
      </c>
      <c r="I100" s="11">
        <v>379</v>
      </c>
      <c r="J100" s="11">
        <v>445</v>
      </c>
      <c r="K100" s="11">
        <v>530</v>
      </c>
      <c r="L100" s="11">
        <v>116</v>
      </c>
      <c r="M100" s="11">
        <v>593</v>
      </c>
      <c r="N100" s="11"/>
    </row>
    <row r="101" spans="1:14" ht="19.5" customHeight="1" x14ac:dyDescent="0.35">
      <c r="A101" s="22" t="s">
        <v>22</v>
      </c>
      <c r="B101" s="23">
        <f>SUM(B97:B100)</f>
        <v>7484</v>
      </c>
      <c r="C101" s="23">
        <f>AVERAGE(C97:C100)</f>
        <v>1.5</v>
      </c>
      <c r="D101" s="23">
        <f>SUM(D97:D100)</f>
        <v>1201.4000000000001</v>
      </c>
      <c r="E101" s="23">
        <f>SUM(E97:E100)</f>
        <v>658.6</v>
      </c>
      <c r="F101" s="23">
        <f>SUM(F97:F100)</f>
        <v>92.6</v>
      </c>
      <c r="G101" s="23">
        <f>AVERAGE(G97:G100)</f>
        <v>317.25</v>
      </c>
      <c r="H101" s="23">
        <f>AVERAGE(H97:H100)</f>
        <v>256.5</v>
      </c>
      <c r="I101" s="23">
        <f>MAX(I97:I100)</f>
        <v>506</v>
      </c>
      <c r="J101" s="23">
        <f>MAX(J97:J100)</f>
        <v>600</v>
      </c>
      <c r="K101" s="23">
        <f>MAX(K97:K100)</f>
        <v>692</v>
      </c>
      <c r="L101" s="23">
        <f>MIN(L97:L100)</f>
        <v>109</v>
      </c>
      <c r="M101" s="23">
        <f>MAX(M97:M100)</f>
        <v>813</v>
      </c>
      <c r="N101" s="23"/>
    </row>
    <row r="102" spans="1:14" ht="7.5" customHeight="1" x14ac:dyDescent="0.35"/>
    <row r="103" spans="1:14" ht="19.5" customHeight="1" x14ac:dyDescent="0.35">
      <c r="A103" s="1" t="s">
        <v>0</v>
      </c>
      <c r="B103" s="1"/>
      <c r="C103" s="1"/>
      <c r="D103" s="5" t="s">
        <v>43</v>
      </c>
      <c r="E103" s="5"/>
      <c r="F103" s="5"/>
      <c r="G103" s="5"/>
      <c r="H103" s="4" t="s">
        <v>44</v>
      </c>
      <c r="I103" s="4"/>
      <c r="J103" s="4"/>
      <c r="K103" s="4"/>
      <c r="L103" s="4"/>
      <c r="M103" s="4"/>
      <c r="N103" s="4"/>
    </row>
    <row r="104" spans="1:14" ht="19.5" customHeight="1" x14ac:dyDescent="0.35">
      <c r="A104" s="1" t="s">
        <v>3</v>
      </c>
      <c r="B104" s="1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27.75" customHeight="1" x14ac:dyDescent="0.35">
      <c r="A105" s="19" t="s">
        <v>4</v>
      </c>
      <c r="B105" s="19" t="s">
        <v>5</v>
      </c>
      <c r="C105" s="19" t="s">
        <v>6</v>
      </c>
      <c r="D105" s="19" t="s">
        <v>7</v>
      </c>
      <c r="E105" s="19" t="s">
        <v>8</v>
      </c>
      <c r="F105" s="19" t="s">
        <v>9</v>
      </c>
      <c r="G105" s="19" t="s">
        <v>10</v>
      </c>
      <c r="H105" s="19" t="s">
        <v>11</v>
      </c>
      <c r="I105" s="19" t="s">
        <v>12</v>
      </c>
      <c r="J105" s="19" t="s">
        <v>13</v>
      </c>
      <c r="K105" s="19" t="s">
        <v>14</v>
      </c>
      <c r="L105" s="19" t="s">
        <v>15</v>
      </c>
      <c r="M105" s="19" t="s">
        <v>16</v>
      </c>
      <c r="N105" s="19" t="s">
        <v>17</v>
      </c>
    </row>
    <row r="106" spans="1:14" ht="18" customHeight="1" x14ac:dyDescent="0.35">
      <c r="A106" s="20" t="s">
        <v>18</v>
      </c>
      <c r="B106" s="21">
        <v>1233</v>
      </c>
      <c r="C106" s="21">
        <v>3</v>
      </c>
      <c r="D106" s="21">
        <v>323.89999999999998</v>
      </c>
      <c r="E106" s="21">
        <v>197</v>
      </c>
      <c r="F106" s="21">
        <v>20.100000000000001</v>
      </c>
      <c r="G106" s="21">
        <v>288</v>
      </c>
      <c r="H106" s="21">
        <v>186</v>
      </c>
      <c r="I106" s="21">
        <v>448</v>
      </c>
      <c r="J106" s="21">
        <v>496</v>
      </c>
      <c r="K106" s="21">
        <v>598</v>
      </c>
      <c r="L106" s="21">
        <v>109</v>
      </c>
      <c r="M106" s="21">
        <v>689</v>
      </c>
      <c r="N106" s="21"/>
    </row>
    <row r="107" spans="1:14" ht="18" customHeight="1" x14ac:dyDescent="0.35">
      <c r="A107" s="10" t="s">
        <v>19</v>
      </c>
      <c r="B107" s="11">
        <v>1536</v>
      </c>
      <c r="C107" s="11">
        <v>3</v>
      </c>
      <c r="D107" s="11">
        <v>261.8</v>
      </c>
      <c r="E107" s="11">
        <v>172.2</v>
      </c>
      <c r="F107" s="11">
        <v>18.7</v>
      </c>
      <c r="G107" s="11">
        <v>333</v>
      </c>
      <c r="H107" s="11">
        <v>230</v>
      </c>
      <c r="I107" s="11">
        <v>498</v>
      </c>
      <c r="J107" s="11">
        <v>587</v>
      </c>
      <c r="K107" s="11">
        <v>704</v>
      </c>
      <c r="L107" s="11">
        <v>118</v>
      </c>
      <c r="M107" s="11">
        <v>774</v>
      </c>
      <c r="N107" s="11"/>
    </row>
    <row r="108" spans="1:14" ht="18" customHeight="1" x14ac:dyDescent="0.35">
      <c r="A108" s="20" t="s">
        <v>20</v>
      </c>
      <c r="B108" s="21">
        <v>1586</v>
      </c>
      <c r="C108" s="21">
        <v>3.2</v>
      </c>
      <c r="D108" s="21">
        <v>315.7</v>
      </c>
      <c r="E108" s="21">
        <v>204.3</v>
      </c>
      <c r="F108" s="21">
        <v>15.2</v>
      </c>
      <c r="G108" s="21">
        <v>252</v>
      </c>
      <c r="H108" s="21">
        <v>249</v>
      </c>
      <c r="I108" s="21">
        <v>397</v>
      </c>
      <c r="J108" s="21">
        <v>451</v>
      </c>
      <c r="K108" s="21">
        <v>573</v>
      </c>
      <c r="L108" s="21">
        <v>164</v>
      </c>
      <c r="M108" s="21">
        <v>700</v>
      </c>
      <c r="N108" s="21"/>
    </row>
    <row r="109" spans="1:14" ht="18" customHeight="1" x14ac:dyDescent="0.35">
      <c r="A109" s="10" t="s">
        <v>21</v>
      </c>
      <c r="B109" s="11">
        <v>1296</v>
      </c>
      <c r="C109" s="11">
        <v>0.5</v>
      </c>
      <c r="D109" s="11">
        <v>349.9</v>
      </c>
      <c r="E109" s="11">
        <v>205.6</v>
      </c>
      <c r="F109" s="11">
        <v>26.2</v>
      </c>
      <c r="G109" s="11">
        <v>247</v>
      </c>
      <c r="H109" s="11">
        <v>188</v>
      </c>
      <c r="I109" s="11">
        <v>407</v>
      </c>
      <c r="J109" s="11">
        <v>459</v>
      </c>
      <c r="K109" s="11">
        <v>570</v>
      </c>
      <c r="L109" s="11">
        <v>164</v>
      </c>
      <c r="M109" s="11">
        <v>670</v>
      </c>
      <c r="N109" s="11"/>
    </row>
    <row r="110" spans="1:14" ht="19.5" customHeight="1" x14ac:dyDescent="0.35">
      <c r="A110" s="22" t="s">
        <v>22</v>
      </c>
      <c r="B110" s="23">
        <f>SUM(B106:B109)</f>
        <v>5651</v>
      </c>
      <c r="C110" s="23">
        <f>AVERAGE(C106:C109)</f>
        <v>2.4249999999999998</v>
      </c>
      <c r="D110" s="23">
        <f>SUM(D106:D109)</f>
        <v>1251.3000000000002</v>
      </c>
      <c r="E110" s="23">
        <f>SUM(E106:E109)</f>
        <v>779.1</v>
      </c>
      <c r="F110" s="23">
        <f>SUM(F106:F109)</f>
        <v>80.2</v>
      </c>
      <c r="G110" s="23">
        <f>AVERAGE(G106:G109)</f>
        <v>280</v>
      </c>
      <c r="H110" s="23">
        <f>AVERAGE(H106:H109)</f>
        <v>213.25</v>
      </c>
      <c r="I110" s="23">
        <f>MAX(I106:I109)</f>
        <v>498</v>
      </c>
      <c r="J110" s="23">
        <f>MAX(J106:J109)</f>
        <v>587</v>
      </c>
      <c r="K110" s="23">
        <f>MAX(K106:K109)</f>
        <v>704</v>
      </c>
      <c r="L110" s="23">
        <f>MIN(L106:L109)</f>
        <v>109</v>
      </c>
      <c r="M110" s="23">
        <f>MAX(M106:M109)</f>
        <v>774</v>
      </c>
      <c r="N110" s="23"/>
    </row>
    <row r="111" spans="1:14" ht="7.5" customHeight="1" x14ac:dyDescent="0.35"/>
    <row r="112" spans="1:14" ht="19.5" customHeight="1" x14ac:dyDescent="0.35">
      <c r="A112" s="1" t="s">
        <v>0</v>
      </c>
      <c r="B112" s="1"/>
      <c r="C112" s="1"/>
      <c r="D112" s="5" t="s">
        <v>45</v>
      </c>
      <c r="E112" s="5"/>
      <c r="F112" s="5"/>
      <c r="G112" s="5"/>
      <c r="H112" s="4" t="s">
        <v>46</v>
      </c>
      <c r="I112" s="4"/>
      <c r="J112" s="4"/>
      <c r="K112" s="4"/>
      <c r="L112" s="4"/>
      <c r="M112" s="4"/>
      <c r="N112" s="4"/>
    </row>
    <row r="113" spans="1:14" ht="19.5" customHeight="1" x14ac:dyDescent="0.35">
      <c r="A113" s="1" t="s">
        <v>3</v>
      </c>
      <c r="B113" s="1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27.75" customHeight="1" x14ac:dyDescent="0.35">
      <c r="A114" s="19" t="s">
        <v>4</v>
      </c>
      <c r="B114" s="19" t="s">
        <v>5</v>
      </c>
      <c r="C114" s="19" t="s">
        <v>6</v>
      </c>
      <c r="D114" s="19" t="s">
        <v>7</v>
      </c>
      <c r="E114" s="19" t="s">
        <v>8</v>
      </c>
      <c r="F114" s="19" t="s">
        <v>9</v>
      </c>
      <c r="G114" s="19" t="s">
        <v>10</v>
      </c>
      <c r="H114" s="19" t="s">
        <v>11</v>
      </c>
      <c r="I114" s="19" t="s">
        <v>12</v>
      </c>
      <c r="J114" s="19" t="s">
        <v>13</v>
      </c>
      <c r="K114" s="19" t="s">
        <v>14</v>
      </c>
      <c r="L114" s="19" t="s">
        <v>15</v>
      </c>
      <c r="M114" s="19" t="s">
        <v>16</v>
      </c>
      <c r="N114" s="19" t="s">
        <v>17</v>
      </c>
    </row>
    <row r="115" spans="1:14" ht="18" customHeight="1" x14ac:dyDescent="0.35">
      <c r="A115" s="20" t="s">
        <v>18</v>
      </c>
      <c r="B115" s="21">
        <v>1874</v>
      </c>
      <c r="C115" s="21">
        <v>1.9</v>
      </c>
      <c r="D115" s="21">
        <v>376.6</v>
      </c>
      <c r="E115" s="21">
        <v>160.19999999999999</v>
      </c>
      <c r="F115" s="21">
        <v>16.600000000000001</v>
      </c>
      <c r="G115" s="21">
        <v>321</v>
      </c>
      <c r="H115" s="21">
        <v>318</v>
      </c>
      <c r="I115" s="21">
        <v>490</v>
      </c>
      <c r="J115" s="21">
        <v>560</v>
      </c>
      <c r="K115" s="21">
        <v>655</v>
      </c>
      <c r="L115" s="21">
        <v>194</v>
      </c>
      <c r="M115" s="21">
        <v>778</v>
      </c>
      <c r="N115" s="21"/>
    </row>
    <row r="116" spans="1:14" ht="18" customHeight="1" x14ac:dyDescent="0.35">
      <c r="A116" s="10" t="s">
        <v>19</v>
      </c>
      <c r="B116" s="11">
        <v>1472</v>
      </c>
      <c r="C116" s="11">
        <v>2.7</v>
      </c>
      <c r="D116" s="11">
        <v>290.7</v>
      </c>
      <c r="E116" s="11">
        <v>168.3</v>
      </c>
      <c r="F116" s="11">
        <v>29.2</v>
      </c>
      <c r="G116" s="11">
        <v>333</v>
      </c>
      <c r="H116" s="11">
        <v>322</v>
      </c>
      <c r="I116" s="11">
        <v>511</v>
      </c>
      <c r="J116" s="11">
        <v>567</v>
      </c>
      <c r="K116" s="11">
        <v>689</v>
      </c>
      <c r="L116" s="11">
        <v>154</v>
      </c>
      <c r="M116" s="11">
        <v>752</v>
      </c>
      <c r="N116" s="11"/>
    </row>
    <row r="117" spans="1:14" ht="18" customHeight="1" x14ac:dyDescent="0.35">
      <c r="A117" s="20" t="s">
        <v>20</v>
      </c>
      <c r="B117" s="21">
        <v>1376</v>
      </c>
      <c r="C117" s="21">
        <v>2.6</v>
      </c>
      <c r="D117" s="21">
        <v>399.6</v>
      </c>
      <c r="E117" s="21">
        <v>171.7</v>
      </c>
      <c r="F117" s="21">
        <v>18.7</v>
      </c>
      <c r="G117" s="21">
        <v>177</v>
      </c>
      <c r="H117" s="21">
        <v>173</v>
      </c>
      <c r="I117" s="21">
        <v>318</v>
      </c>
      <c r="J117" s="21">
        <v>363</v>
      </c>
      <c r="K117" s="21">
        <v>500</v>
      </c>
      <c r="L117" s="21">
        <v>108</v>
      </c>
      <c r="M117" s="21">
        <v>581</v>
      </c>
      <c r="N117" s="21"/>
    </row>
    <row r="118" spans="1:14" ht="18" customHeight="1" x14ac:dyDescent="0.35">
      <c r="A118" s="10" t="s">
        <v>21</v>
      </c>
      <c r="B118" s="11">
        <v>1405</v>
      </c>
      <c r="C118" s="11">
        <v>1</v>
      </c>
      <c r="D118" s="11">
        <v>411.2</v>
      </c>
      <c r="E118" s="11">
        <v>199.1</v>
      </c>
      <c r="F118" s="11">
        <v>15.1</v>
      </c>
      <c r="G118" s="11">
        <v>296</v>
      </c>
      <c r="H118" s="11">
        <v>280</v>
      </c>
      <c r="I118" s="11">
        <v>419</v>
      </c>
      <c r="J118" s="11">
        <v>460</v>
      </c>
      <c r="K118" s="11">
        <v>594</v>
      </c>
      <c r="L118" s="11">
        <v>140</v>
      </c>
      <c r="M118" s="11">
        <v>725</v>
      </c>
      <c r="N118" s="11"/>
    </row>
    <row r="119" spans="1:14" ht="19.5" customHeight="1" x14ac:dyDescent="0.35">
      <c r="A119" s="22" t="s">
        <v>22</v>
      </c>
      <c r="B119" s="23">
        <f>SUM(B115:B118)</f>
        <v>6127</v>
      </c>
      <c r="C119" s="23">
        <f>AVERAGE(C115:C118)</f>
        <v>2.0499999999999998</v>
      </c>
      <c r="D119" s="23">
        <f>SUM(D115:D118)</f>
        <v>1478.1000000000001</v>
      </c>
      <c r="E119" s="23">
        <f>SUM(E115:E118)</f>
        <v>699.3</v>
      </c>
      <c r="F119" s="23">
        <f>SUM(F115:F118)</f>
        <v>79.599999999999994</v>
      </c>
      <c r="G119" s="23">
        <f>AVERAGE(G115:G118)</f>
        <v>281.75</v>
      </c>
      <c r="H119" s="23">
        <f>AVERAGE(H115:H118)</f>
        <v>273.25</v>
      </c>
      <c r="I119" s="23">
        <f>MAX(I115:I118)</f>
        <v>511</v>
      </c>
      <c r="J119" s="23">
        <f>MAX(J115:J118)</f>
        <v>567</v>
      </c>
      <c r="K119" s="23">
        <f>MAX(K115:K118)</f>
        <v>689</v>
      </c>
      <c r="L119" s="23">
        <f>MIN(L115:L118)</f>
        <v>108</v>
      </c>
      <c r="M119" s="23">
        <f>MAX(M115:M118)</f>
        <v>778</v>
      </c>
      <c r="N119" s="23"/>
    </row>
    <row r="120" spans="1:14" ht="7.5" customHeight="1" x14ac:dyDescent="0.35"/>
    <row r="121" spans="1:14" ht="19.5" customHeight="1" x14ac:dyDescent="0.35">
      <c r="A121" s="1" t="s">
        <v>0</v>
      </c>
      <c r="B121" s="1"/>
      <c r="C121" s="1"/>
      <c r="D121" s="5" t="s">
        <v>47</v>
      </c>
      <c r="E121" s="5"/>
      <c r="F121" s="5"/>
      <c r="G121" s="5"/>
      <c r="H121" s="4" t="s">
        <v>48</v>
      </c>
      <c r="I121" s="4"/>
      <c r="J121" s="4"/>
      <c r="K121" s="4"/>
      <c r="L121" s="4"/>
      <c r="M121" s="4"/>
      <c r="N121" s="4"/>
    </row>
    <row r="122" spans="1:14" ht="19.5" customHeight="1" x14ac:dyDescent="0.35">
      <c r="A122" s="1" t="s">
        <v>3</v>
      </c>
      <c r="B122" s="1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27.75" customHeight="1" x14ac:dyDescent="0.35">
      <c r="A123" s="19" t="s">
        <v>4</v>
      </c>
      <c r="B123" s="19" t="s">
        <v>5</v>
      </c>
      <c r="C123" s="19" t="s">
        <v>6</v>
      </c>
      <c r="D123" s="19" t="s">
        <v>7</v>
      </c>
      <c r="E123" s="19" t="s">
        <v>8</v>
      </c>
      <c r="F123" s="19" t="s">
        <v>9</v>
      </c>
      <c r="G123" s="19" t="s">
        <v>10</v>
      </c>
      <c r="H123" s="19" t="s">
        <v>11</v>
      </c>
      <c r="I123" s="19" t="s">
        <v>12</v>
      </c>
      <c r="J123" s="19" t="s">
        <v>13</v>
      </c>
      <c r="K123" s="19" t="s">
        <v>14</v>
      </c>
      <c r="L123" s="19" t="s">
        <v>15</v>
      </c>
      <c r="M123" s="19" t="s">
        <v>16</v>
      </c>
      <c r="N123" s="19" t="s">
        <v>17</v>
      </c>
    </row>
    <row r="124" spans="1:14" ht="18" customHeight="1" x14ac:dyDescent="0.35">
      <c r="A124" s="20" t="s">
        <v>18</v>
      </c>
      <c r="B124" s="21">
        <v>1410</v>
      </c>
      <c r="C124" s="21">
        <v>2.2000000000000002</v>
      </c>
      <c r="D124" s="21">
        <v>355.8</v>
      </c>
      <c r="E124" s="21">
        <v>172.1</v>
      </c>
      <c r="F124" s="21">
        <v>20.399999999999999</v>
      </c>
      <c r="G124" s="21">
        <v>378</v>
      </c>
      <c r="H124" s="21">
        <v>267</v>
      </c>
      <c r="I124" s="21">
        <v>537</v>
      </c>
      <c r="J124" s="21">
        <v>632</v>
      </c>
      <c r="K124" s="21">
        <v>771</v>
      </c>
      <c r="L124" s="21">
        <v>179</v>
      </c>
      <c r="M124" s="21">
        <v>887</v>
      </c>
      <c r="N124" s="21"/>
    </row>
    <row r="125" spans="1:14" ht="18" customHeight="1" x14ac:dyDescent="0.35">
      <c r="A125" s="10" t="s">
        <v>19</v>
      </c>
      <c r="B125" s="11">
        <v>1774</v>
      </c>
      <c r="C125" s="11">
        <v>2.7</v>
      </c>
      <c r="D125" s="11">
        <v>304.8</v>
      </c>
      <c r="E125" s="11">
        <v>169.9</v>
      </c>
      <c r="F125" s="11">
        <v>17.3</v>
      </c>
      <c r="G125" s="11">
        <v>280</v>
      </c>
      <c r="H125" s="11">
        <v>258</v>
      </c>
      <c r="I125" s="11">
        <v>442</v>
      </c>
      <c r="J125" s="11">
        <v>514</v>
      </c>
      <c r="K125" s="11">
        <v>673</v>
      </c>
      <c r="L125" s="11">
        <v>137</v>
      </c>
      <c r="M125" s="11">
        <v>729</v>
      </c>
      <c r="N125" s="11"/>
    </row>
    <row r="126" spans="1:14" ht="18" customHeight="1" x14ac:dyDescent="0.35">
      <c r="A126" s="20" t="s">
        <v>20</v>
      </c>
      <c r="B126" s="21">
        <v>1239</v>
      </c>
      <c r="C126" s="21">
        <v>2.5</v>
      </c>
      <c r="D126" s="21">
        <v>425.7</v>
      </c>
      <c r="E126" s="21">
        <v>114.4</v>
      </c>
      <c r="F126" s="21">
        <v>25.5</v>
      </c>
      <c r="G126" s="21">
        <v>331</v>
      </c>
      <c r="H126" s="21">
        <v>195</v>
      </c>
      <c r="I126" s="21">
        <v>471</v>
      </c>
      <c r="J126" s="21">
        <v>534</v>
      </c>
      <c r="K126" s="21">
        <v>692</v>
      </c>
      <c r="L126" s="21">
        <v>177</v>
      </c>
      <c r="M126" s="21">
        <v>818</v>
      </c>
      <c r="N126" s="21"/>
    </row>
    <row r="127" spans="1:14" ht="18" customHeight="1" x14ac:dyDescent="0.35">
      <c r="A127" s="10" t="s">
        <v>21</v>
      </c>
      <c r="B127" s="11">
        <v>1417</v>
      </c>
      <c r="C127" s="11">
        <v>1</v>
      </c>
      <c r="D127" s="11">
        <v>433.3</v>
      </c>
      <c r="E127" s="11">
        <v>175</v>
      </c>
      <c r="F127" s="11">
        <v>30.8</v>
      </c>
      <c r="G127" s="11">
        <v>250</v>
      </c>
      <c r="H127" s="11">
        <v>199</v>
      </c>
      <c r="I127" s="11">
        <v>374</v>
      </c>
      <c r="J127" s="11">
        <v>425</v>
      </c>
      <c r="K127" s="11">
        <v>531</v>
      </c>
      <c r="L127" s="11">
        <v>133</v>
      </c>
      <c r="M127" s="11">
        <v>665</v>
      </c>
      <c r="N127" s="11"/>
    </row>
    <row r="128" spans="1:14" ht="19.5" customHeight="1" x14ac:dyDescent="0.35">
      <c r="A128" s="22" t="s">
        <v>22</v>
      </c>
      <c r="B128" s="23">
        <f>SUM(B124:B127)</f>
        <v>5840</v>
      </c>
      <c r="C128" s="23">
        <f>AVERAGE(C124:C127)</f>
        <v>2.1</v>
      </c>
      <c r="D128" s="23">
        <f>SUM(D124:D127)</f>
        <v>1519.6</v>
      </c>
      <c r="E128" s="23">
        <f>SUM(E124:E127)</f>
        <v>631.4</v>
      </c>
      <c r="F128" s="23">
        <f>SUM(F124:F127)</f>
        <v>94</v>
      </c>
      <c r="G128" s="23">
        <f>AVERAGE(G124:G127)</f>
        <v>309.75</v>
      </c>
      <c r="H128" s="23">
        <f>AVERAGE(H124:H127)</f>
        <v>229.75</v>
      </c>
      <c r="I128" s="23">
        <f>MAX(I124:I127)</f>
        <v>537</v>
      </c>
      <c r="J128" s="23">
        <f>MAX(J124:J127)</f>
        <v>632</v>
      </c>
      <c r="K128" s="23">
        <f>MAX(K124:K127)</f>
        <v>771</v>
      </c>
      <c r="L128" s="23">
        <f>MIN(L124:L127)</f>
        <v>133</v>
      </c>
      <c r="M128" s="23">
        <f>MAX(M124:M127)</f>
        <v>887</v>
      </c>
      <c r="N128" s="23"/>
    </row>
    <row r="129" spans="1:14" ht="7.5" customHeight="1" x14ac:dyDescent="0.35"/>
    <row r="130" spans="1:14" ht="19.5" customHeight="1" x14ac:dyDescent="0.35">
      <c r="A130" s="1" t="s">
        <v>0</v>
      </c>
      <c r="B130" s="1"/>
      <c r="C130" s="1"/>
      <c r="D130" s="5" t="s">
        <v>49</v>
      </c>
      <c r="E130" s="5"/>
      <c r="F130" s="5"/>
      <c r="G130" s="5"/>
      <c r="H130" s="4" t="s">
        <v>50</v>
      </c>
      <c r="I130" s="4"/>
      <c r="J130" s="4"/>
      <c r="K130" s="4"/>
      <c r="L130" s="4"/>
      <c r="M130" s="4"/>
      <c r="N130" s="4"/>
    </row>
    <row r="131" spans="1:14" ht="19.5" customHeight="1" x14ac:dyDescent="0.35">
      <c r="A131" s="1" t="s">
        <v>3</v>
      </c>
      <c r="B131" s="1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27.75" customHeight="1" x14ac:dyDescent="0.35">
      <c r="A132" s="19" t="s">
        <v>4</v>
      </c>
      <c r="B132" s="19" t="s">
        <v>5</v>
      </c>
      <c r="C132" s="19" t="s">
        <v>6</v>
      </c>
      <c r="D132" s="19" t="s">
        <v>7</v>
      </c>
      <c r="E132" s="19" t="s">
        <v>8</v>
      </c>
      <c r="F132" s="19" t="s">
        <v>9</v>
      </c>
      <c r="G132" s="19" t="s">
        <v>10</v>
      </c>
      <c r="H132" s="19" t="s">
        <v>11</v>
      </c>
      <c r="I132" s="19" t="s">
        <v>12</v>
      </c>
      <c r="J132" s="19" t="s">
        <v>13</v>
      </c>
      <c r="K132" s="19" t="s">
        <v>14</v>
      </c>
      <c r="L132" s="19" t="s">
        <v>15</v>
      </c>
      <c r="M132" s="19" t="s">
        <v>16</v>
      </c>
      <c r="N132" s="19" t="s">
        <v>17</v>
      </c>
    </row>
    <row r="133" spans="1:14" ht="18" customHeight="1" x14ac:dyDescent="0.35">
      <c r="A133" s="20" t="s">
        <v>18</v>
      </c>
      <c r="B133" s="21">
        <v>1386</v>
      </c>
      <c r="C133" s="21">
        <v>2.2000000000000002</v>
      </c>
      <c r="D133" s="21">
        <v>328.2</v>
      </c>
      <c r="E133" s="21">
        <v>176.3</v>
      </c>
      <c r="F133" s="21">
        <v>23.8</v>
      </c>
      <c r="G133" s="21">
        <v>343</v>
      </c>
      <c r="H133" s="21">
        <v>340</v>
      </c>
      <c r="I133" s="21">
        <v>521</v>
      </c>
      <c r="J133" s="21">
        <v>571</v>
      </c>
      <c r="K133" s="21">
        <v>674</v>
      </c>
      <c r="L133" s="21">
        <v>160</v>
      </c>
      <c r="M133" s="21">
        <v>796</v>
      </c>
      <c r="N133" s="21"/>
    </row>
    <row r="134" spans="1:14" ht="18" customHeight="1" x14ac:dyDescent="0.35">
      <c r="A134" s="10" t="s">
        <v>19</v>
      </c>
      <c r="B134" s="11">
        <v>1511</v>
      </c>
      <c r="C134" s="11">
        <v>2.6</v>
      </c>
      <c r="D134" s="11">
        <v>390.2</v>
      </c>
      <c r="E134" s="11">
        <v>192.4</v>
      </c>
      <c r="F134" s="11">
        <v>31.2</v>
      </c>
      <c r="G134" s="11">
        <v>334</v>
      </c>
      <c r="H134" s="11">
        <v>267</v>
      </c>
      <c r="I134" s="11">
        <v>512</v>
      </c>
      <c r="J134" s="11">
        <v>583</v>
      </c>
      <c r="K134" s="11">
        <v>691</v>
      </c>
      <c r="L134" s="11">
        <v>133</v>
      </c>
      <c r="M134" s="11">
        <v>834</v>
      </c>
      <c r="N134" s="11"/>
    </row>
    <row r="135" spans="1:14" ht="18" customHeight="1" x14ac:dyDescent="0.35">
      <c r="A135" s="20" t="s">
        <v>20</v>
      </c>
      <c r="B135" s="21">
        <v>2146</v>
      </c>
      <c r="C135" s="21">
        <v>1.2</v>
      </c>
      <c r="D135" s="21">
        <v>252.9</v>
      </c>
      <c r="E135" s="21">
        <v>206.6</v>
      </c>
      <c r="F135" s="21">
        <v>24.6</v>
      </c>
      <c r="G135" s="21">
        <v>380</v>
      </c>
      <c r="H135" s="21">
        <v>158</v>
      </c>
      <c r="I135" s="21">
        <v>525</v>
      </c>
      <c r="J135" s="21">
        <v>596</v>
      </c>
      <c r="K135" s="21">
        <v>711</v>
      </c>
      <c r="L135" s="21">
        <v>131</v>
      </c>
      <c r="M135" s="21">
        <v>819</v>
      </c>
      <c r="N135" s="21"/>
    </row>
    <row r="136" spans="1:14" ht="18" customHeight="1" x14ac:dyDescent="0.35">
      <c r="A136" s="10" t="s">
        <v>21</v>
      </c>
      <c r="B136" s="11">
        <v>1708</v>
      </c>
      <c r="C136" s="11">
        <v>1</v>
      </c>
      <c r="D136" s="11">
        <v>379.3</v>
      </c>
      <c r="E136" s="11">
        <v>165.9</v>
      </c>
      <c r="F136" s="11">
        <v>31.6</v>
      </c>
      <c r="G136" s="11">
        <v>320</v>
      </c>
      <c r="H136" s="11">
        <v>203</v>
      </c>
      <c r="I136" s="11">
        <v>441</v>
      </c>
      <c r="J136" s="11">
        <v>501</v>
      </c>
      <c r="K136" s="11">
        <v>644</v>
      </c>
      <c r="L136" s="11">
        <v>192</v>
      </c>
      <c r="M136" s="11">
        <v>761</v>
      </c>
      <c r="N136" s="11"/>
    </row>
    <row r="137" spans="1:14" ht="19.5" customHeight="1" x14ac:dyDescent="0.35">
      <c r="A137" s="22" t="s">
        <v>22</v>
      </c>
      <c r="B137" s="23">
        <f>SUM(B133:B136)</f>
        <v>6751</v>
      </c>
      <c r="C137" s="23">
        <f>AVERAGE(C133:C136)</f>
        <v>1.7500000000000002</v>
      </c>
      <c r="D137" s="23">
        <f>SUM(D133:D136)</f>
        <v>1350.6</v>
      </c>
      <c r="E137" s="23">
        <f>SUM(E133:E136)</f>
        <v>741.2</v>
      </c>
      <c r="F137" s="23">
        <f>SUM(F133:F136)</f>
        <v>111.19999999999999</v>
      </c>
      <c r="G137" s="23">
        <f>AVERAGE(G133:G136)</f>
        <v>344.25</v>
      </c>
      <c r="H137" s="23">
        <f>AVERAGE(H133:H136)</f>
        <v>242</v>
      </c>
      <c r="I137" s="23">
        <f>MAX(I133:I136)</f>
        <v>525</v>
      </c>
      <c r="J137" s="23">
        <f>MAX(J133:J136)</f>
        <v>596</v>
      </c>
      <c r="K137" s="23">
        <f>MAX(K133:K136)</f>
        <v>711</v>
      </c>
      <c r="L137" s="23">
        <f>MIN(L133:L136)</f>
        <v>131</v>
      </c>
      <c r="M137" s="23">
        <f>MAX(M133:M136)</f>
        <v>834</v>
      </c>
      <c r="N137" s="23"/>
    </row>
    <row r="138" spans="1:14" ht="7.5" customHeight="1" x14ac:dyDescent="0.35"/>
    <row r="139" spans="1:14" ht="19.5" customHeight="1" x14ac:dyDescent="0.35">
      <c r="A139" s="1" t="s">
        <v>0</v>
      </c>
      <c r="B139" s="1"/>
      <c r="C139" s="1"/>
      <c r="D139" s="5" t="s">
        <v>51</v>
      </c>
      <c r="E139" s="5"/>
      <c r="F139" s="5"/>
      <c r="G139" s="5"/>
      <c r="H139" s="4" t="s">
        <v>52</v>
      </c>
      <c r="I139" s="4"/>
      <c r="J139" s="4"/>
      <c r="K139" s="4"/>
      <c r="L139" s="4"/>
      <c r="M139" s="4"/>
      <c r="N139" s="4"/>
    </row>
    <row r="140" spans="1:14" ht="19.5" customHeight="1" x14ac:dyDescent="0.35">
      <c r="A140" s="1" t="s">
        <v>3</v>
      </c>
      <c r="B140" s="1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27.75" customHeight="1" x14ac:dyDescent="0.35">
      <c r="A141" s="19" t="s">
        <v>4</v>
      </c>
      <c r="B141" s="19" t="s">
        <v>5</v>
      </c>
      <c r="C141" s="19" t="s">
        <v>6</v>
      </c>
      <c r="D141" s="19" t="s">
        <v>7</v>
      </c>
      <c r="E141" s="19" t="s">
        <v>8</v>
      </c>
      <c r="F141" s="19" t="s">
        <v>9</v>
      </c>
      <c r="G141" s="19" t="s">
        <v>10</v>
      </c>
      <c r="H141" s="19" t="s">
        <v>11</v>
      </c>
      <c r="I141" s="19" t="s">
        <v>12</v>
      </c>
      <c r="J141" s="19" t="s">
        <v>13</v>
      </c>
      <c r="K141" s="19" t="s">
        <v>14</v>
      </c>
      <c r="L141" s="19" t="s">
        <v>15</v>
      </c>
      <c r="M141" s="19" t="s">
        <v>16</v>
      </c>
      <c r="N141" s="19" t="s">
        <v>17</v>
      </c>
    </row>
    <row r="142" spans="1:14" ht="18" customHeight="1" x14ac:dyDescent="0.35">
      <c r="A142" s="20" t="s">
        <v>18</v>
      </c>
      <c r="B142" s="21">
        <v>1865</v>
      </c>
      <c r="C142" s="21">
        <v>0.9</v>
      </c>
      <c r="D142" s="21">
        <v>326.39999999999998</v>
      </c>
      <c r="E142" s="21">
        <v>183.8</v>
      </c>
      <c r="F142" s="21">
        <v>20.6</v>
      </c>
      <c r="G142" s="21">
        <v>219</v>
      </c>
      <c r="H142" s="21">
        <v>174</v>
      </c>
      <c r="I142" s="21">
        <v>377</v>
      </c>
      <c r="J142" s="21">
        <v>460</v>
      </c>
      <c r="K142" s="21">
        <v>596</v>
      </c>
      <c r="L142" s="21">
        <v>115</v>
      </c>
      <c r="M142" s="21">
        <v>684</v>
      </c>
      <c r="N142" s="21"/>
    </row>
    <row r="143" spans="1:14" ht="18" customHeight="1" x14ac:dyDescent="0.35">
      <c r="A143" s="10" t="s">
        <v>19</v>
      </c>
      <c r="B143" s="11">
        <v>1905</v>
      </c>
      <c r="C143" s="11">
        <v>3.1</v>
      </c>
      <c r="D143" s="11">
        <v>438.3</v>
      </c>
      <c r="E143" s="11">
        <v>110.6</v>
      </c>
      <c r="F143" s="11">
        <v>19.600000000000001</v>
      </c>
      <c r="G143" s="11">
        <v>360</v>
      </c>
      <c r="H143" s="11">
        <v>345</v>
      </c>
      <c r="I143" s="11">
        <v>555</v>
      </c>
      <c r="J143" s="11">
        <v>605</v>
      </c>
      <c r="K143" s="11">
        <v>704</v>
      </c>
      <c r="L143" s="11">
        <v>132</v>
      </c>
      <c r="M143" s="11">
        <v>760</v>
      </c>
      <c r="N143" s="11"/>
    </row>
    <row r="144" spans="1:14" ht="18" customHeight="1" x14ac:dyDescent="0.35">
      <c r="A144" s="20" t="s">
        <v>20</v>
      </c>
      <c r="B144" s="21">
        <v>2018</v>
      </c>
      <c r="C144" s="21">
        <v>1.5</v>
      </c>
      <c r="D144" s="21">
        <v>313.7</v>
      </c>
      <c r="E144" s="21">
        <v>120.9</v>
      </c>
      <c r="F144" s="21">
        <v>21.6</v>
      </c>
      <c r="G144" s="21">
        <v>215</v>
      </c>
      <c r="H144" s="21">
        <v>180</v>
      </c>
      <c r="I144" s="21">
        <v>318</v>
      </c>
      <c r="J144" s="21">
        <v>365</v>
      </c>
      <c r="K144" s="21">
        <v>503</v>
      </c>
      <c r="L144" s="21">
        <v>117</v>
      </c>
      <c r="M144" s="21">
        <v>622</v>
      </c>
      <c r="N144" s="21"/>
    </row>
    <row r="145" spans="1:14" ht="18" customHeight="1" x14ac:dyDescent="0.35">
      <c r="A145" s="10" t="s">
        <v>21</v>
      </c>
      <c r="B145" s="11">
        <v>1516</v>
      </c>
      <c r="C145" s="11">
        <v>1.1000000000000001</v>
      </c>
      <c r="D145" s="11">
        <v>315</v>
      </c>
      <c r="E145" s="11">
        <v>209.2</v>
      </c>
      <c r="F145" s="11">
        <v>30</v>
      </c>
      <c r="G145" s="11">
        <v>209</v>
      </c>
      <c r="H145" s="11">
        <v>202</v>
      </c>
      <c r="I145" s="11">
        <v>384</v>
      </c>
      <c r="J145" s="11">
        <v>468</v>
      </c>
      <c r="K145" s="11">
        <v>551</v>
      </c>
      <c r="L145" s="11">
        <v>121</v>
      </c>
      <c r="M145" s="11">
        <v>610</v>
      </c>
      <c r="N145" s="11"/>
    </row>
    <row r="146" spans="1:14" ht="19.5" customHeight="1" x14ac:dyDescent="0.35">
      <c r="A146" s="22" t="s">
        <v>22</v>
      </c>
      <c r="B146" s="23">
        <f>SUM(B142:B145)</f>
        <v>7304</v>
      </c>
      <c r="C146" s="23">
        <f>AVERAGE(C142:C145)</f>
        <v>1.65</v>
      </c>
      <c r="D146" s="23">
        <f>SUM(D142:D145)</f>
        <v>1393.4</v>
      </c>
      <c r="E146" s="23">
        <f>SUM(E142:E145)</f>
        <v>624.5</v>
      </c>
      <c r="F146" s="23">
        <f>SUM(F142:F145)</f>
        <v>91.800000000000011</v>
      </c>
      <c r="G146" s="23">
        <f>AVERAGE(G142:G145)</f>
        <v>250.75</v>
      </c>
      <c r="H146" s="23">
        <f>AVERAGE(H142:H145)</f>
        <v>225.25</v>
      </c>
      <c r="I146" s="23">
        <f>MAX(I142:I145)</f>
        <v>555</v>
      </c>
      <c r="J146" s="23">
        <f>MAX(J142:J145)</f>
        <v>605</v>
      </c>
      <c r="K146" s="23">
        <f>MAX(K142:K145)</f>
        <v>704</v>
      </c>
      <c r="L146" s="23">
        <f>MIN(L142:L145)</f>
        <v>115</v>
      </c>
      <c r="M146" s="23">
        <f>MAX(M142:M145)</f>
        <v>760</v>
      </c>
      <c r="N146" s="23"/>
    </row>
    <row r="147" spans="1:14" ht="7.5" customHeight="1" x14ac:dyDescent="0.35"/>
    <row r="148" spans="1:14" ht="19.5" customHeight="1" x14ac:dyDescent="0.35">
      <c r="A148" s="1" t="s">
        <v>0</v>
      </c>
      <c r="B148" s="1"/>
      <c r="C148" s="1"/>
      <c r="D148" s="5" t="s">
        <v>53</v>
      </c>
      <c r="E148" s="5"/>
      <c r="F148" s="5"/>
      <c r="G148" s="5"/>
      <c r="H148" s="4" t="s">
        <v>54</v>
      </c>
      <c r="I148" s="4"/>
      <c r="J148" s="4"/>
      <c r="K148" s="4"/>
      <c r="L148" s="4"/>
      <c r="M148" s="4"/>
      <c r="N148" s="4"/>
    </row>
    <row r="149" spans="1:14" ht="19.5" customHeight="1" x14ac:dyDescent="0.35">
      <c r="A149" s="1" t="s">
        <v>3</v>
      </c>
      <c r="B149" s="1"/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27.75" customHeight="1" x14ac:dyDescent="0.35">
      <c r="A150" s="19" t="s">
        <v>4</v>
      </c>
      <c r="B150" s="19" t="s">
        <v>5</v>
      </c>
      <c r="C150" s="19" t="s">
        <v>6</v>
      </c>
      <c r="D150" s="19" t="s">
        <v>7</v>
      </c>
      <c r="E150" s="19" t="s">
        <v>8</v>
      </c>
      <c r="F150" s="19" t="s">
        <v>9</v>
      </c>
      <c r="G150" s="19" t="s">
        <v>10</v>
      </c>
      <c r="H150" s="19" t="s">
        <v>11</v>
      </c>
      <c r="I150" s="19" t="s">
        <v>12</v>
      </c>
      <c r="J150" s="19" t="s">
        <v>13</v>
      </c>
      <c r="K150" s="19" t="s">
        <v>14</v>
      </c>
      <c r="L150" s="19" t="s">
        <v>15</v>
      </c>
      <c r="M150" s="19" t="s">
        <v>16</v>
      </c>
      <c r="N150" s="19" t="s">
        <v>17</v>
      </c>
    </row>
    <row r="151" spans="1:14" ht="18" customHeight="1" x14ac:dyDescent="0.35">
      <c r="A151" s="20" t="s">
        <v>18</v>
      </c>
      <c r="B151" s="21">
        <v>1382</v>
      </c>
      <c r="C151" s="21">
        <v>3.2</v>
      </c>
      <c r="D151" s="21">
        <v>258.10000000000002</v>
      </c>
      <c r="E151" s="21">
        <v>179.8</v>
      </c>
      <c r="F151" s="21">
        <v>28.3</v>
      </c>
      <c r="G151" s="21">
        <v>313</v>
      </c>
      <c r="H151" s="21">
        <v>252</v>
      </c>
      <c r="I151" s="21">
        <v>492</v>
      </c>
      <c r="J151" s="21">
        <v>536</v>
      </c>
      <c r="K151" s="21">
        <v>643</v>
      </c>
      <c r="L151" s="21">
        <v>199</v>
      </c>
      <c r="M151" s="21">
        <v>787</v>
      </c>
      <c r="N151" s="21"/>
    </row>
    <row r="152" spans="1:14" ht="18" customHeight="1" x14ac:dyDescent="0.35">
      <c r="A152" s="10" t="s">
        <v>19</v>
      </c>
      <c r="B152" s="11">
        <v>1488</v>
      </c>
      <c r="C152" s="11">
        <v>0.8</v>
      </c>
      <c r="D152" s="11">
        <v>386.2</v>
      </c>
      <c r="E152" s="11">
        <v>202.9</v>
      </c>
      <c r="F152" s="11">
        <v>31.1</v>
      </c>
      <c r="G152" s="11">
        <v>360</v>
      </c>
      <c r="H152" s="11">
        <v>310</v>
      </c>
      <c r="I152" s="11">
        <v>536</v>
      </c>
      <c r="J152" s="11">
        <v>598</v>
      </c>
      <c r="K152" s="11">
        <v>700</v>
      </c>
      <c r="L152" s="11">
        <v>194</v>
      </c>
      <c r="M152" s="11">
        <v>775</v>
      </c>
      <c r="N152" s="11"/>
    </row>
    <row r="153" spans="1:14" ht="18" customHeight="1" x14ac:dyDescent="0.35">
      <c r="A153" s="20" t="s">
        <v>20</v>
      </c>
      <c r="B153" s="21">
        <v>1533</v>
      </c>
      <c r="C153" s="21">
        <v>3.4</v>
      </c>
      <c r="D153" s="21">
        <v>367.3</v>
      </c>
      <c r="E153" s="21">
        <v>170.2</v>
      </c>
      <c r="F153" s="21">
        <v>15</v>
      </c>
      <c r="G153" s="21">
        <v>284</v>
      </c>
      <c r="H153" s="21">
        <v>161</v>
      </c>
      <c r="I153" s="21">
        <v>447</v>
      </c>
      <c r="J153" s="21">
        <v>498</v>
      </c>
      <c r="K153" s="21">
        <v>625</v>
      </c>
      <c r="L153" s="21">
        <v>133</v>
      </c>
      <c r="M153" s="21">
        <v>725</v>
      </c>
      <c r="N153" s="21"/>
    </row>
    <row r="154" spans="1:14" ht="18" customHeight="1" x14ac:dyDescent="0.35">
      <c r="A154" s="10" t="s">
        <v>21</v>
      </c>
      <c r="B154" s="11">
        <v>1681</v>
      </c>
      <c r="C154" s="11">
        <v>3.3</v>
      </c>
      <c r="D154" s="11">
        <v>260.5</v>
      </c>
      <c r="E154" s="11">
        <v>160.19999999999999</v>
      </c>
      <c r="F154" s="11">
        <v>31.8</v>
      </c>
      <c r="G154" s="11">
        <v>279</v>
      </c>
      <c r="H154" s="11">
        <v>240</v>
      </c>
      <c r="I154" s="11">
        <v>403</v>
      </c>
      <c r="J154" s="11">
        <v>489</v>
      </c>
      <c r="K154" s="11">
        <v>619</v>
      </c>
      <c r="L154" s="11">
        <v>168</v>
      </c>
      <c r="M154" s="11">
        <v>694</v>
      </c>
      <c r="N154" s="11"/>
    </row>
    <row r="155" spans="1:14" ht="19.5" customHeight="1" x14ac:dyDescent="0.35">
      <c r="A155" s="22" t="s">
        <v>22</v>
      </c>
      <c r="B155" s="23">
        <f>SUM(B151:B154)</f>
        <v>6084</v>
      </c>
      <c r="C155" s="23">
        <f>AVERAGE(C151:C154)</f>
        <v>2.6749999999999998</v>
      </c>
      <c r="D155" s="23">
        <f>SUM(D151:D154)</f>
        <v>1272.0999999999999</v>
      </c>
      <c r="E155" s="23">
        <f>SUM(E151:E154)</f>
        <v>713.10000000000014</v>
      </c>
      <c r="F155" s="23">
        <f>SUM(F151:F154)</f>
        <v>106.2</v>
      </c>
      <c r="G155" s="23">
        <f>AVERAGE(G151:G154)</f>
        <v>309</v>
      </c>
      <c r="H155" s="23">
        <f>AVERAGE(H151:H154)</f>
        <v>240.75</v>
      </c>
      <c r="I155" s="23">
        <f>MAX(I151:I154)</f>
        <v>536</v>
      </c>
      <c r="J155" s="23">
        <f>MAX(J151:J154)</f>
        <v>598</v>
      </c>
      <c r="K155" s="23">
        <f>MAX(K151:K154)</f>
        <v>700</v>
      </c>
      <c r="L155" s="23">
        <f>MIN(L151:L154)</f>
        <v>133</v>
      </c>
      <c r="M155" s="23">
        <f>MAX(M151:M154)</f>
        <v>787</v>
      </c>
      <c r="N155" s="23"/>
    </row>
    <row r="156" spans="1:14" ht="7.5" customHeight="1" x14ac:dyDescent="0.35"/>
    <row r="157" spans="1:14" ht="19.5" customHeight="1" x14ac:dyDescent="0.35">
      <c r="A157" s="1" t="s">
        <v>0</v>
      </c>
      <c r="B157" s="1"/>
      <c r="C157" s="1"/>
      <c r="D157" s="5" t="s">
        <v>55</v>
      </c>
      <c r="E157" s="5"/>
      <c r="F157" s="5"/>
      <c r="G157" s="5"/>
      <c r="H157" s="4" t="s">
        <v>56</v>
      </c>
      <c r="I157" s="4"/>
      <c r="J157" s="4"/>
      <c r="K157" s="4"/>
      <c r="L157" s="4"/>
      <c r="M157" s="4"/>
      <c r="N157" s="4"/>
    </row>
    <row r="158" spans="1:14" ht="19.5" customHeight="1" x14ac:dyDescent="0.35">
      <c r="A158" s="1" t="s">
        <v>3</v>
      </c>
      <c r="B158" s="1"/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27.75" customHeight="1" x14ac:dyDescent="0.35">
      <c r="A159" s="19" t="s">
        <v>4</v>
      </c>
      <c r="B159" s="19" t="s">
        <v>5</v>
      </c>
      <c r="C159" s="19" t="s">
        <v>6</v>
      </c>
      <c r="D159" s="19" t="s">
        <v>7</v>
      </c>
      <c r="E159" s="19" t="s">
        <v>8</v>
      </c>
      <c r="F159" s="19" t="s">
        <v>9</v>
      </c>
      <c r="G159" s="19" t="s">
        <v>10</v>
      </c>
      <c r="H159" s="19" t="s">
        <v>11</v>
      </c>
      <c r="I159" s="19" t="s">
        <v>12</v>
      </c>
      <c r="J159" s="19" t="s">
        <v>13</v>
      </c>
      <c r="K159" s="19" t="s">
        <v>14</v>
      </c>
      <c r="L159" s="19" t="s">
        <v>15</v>
      </c>
      <c r="M159" s="19" t="s">
        <v>16</v>
      </c>
      <c r="N159" s="19" t="s">
        <v>17</v>
      </c>
    </row>
    <row r="160" spans="1:14" ht="18" customHeight="1" x14ac:dyDescent="0.35">
      <c r="A160" s="20" t="s">
        <v>18</v>
      </c>
      <c r="B160" s="21">
        <v>1306</v>
      </c>
      <c r="C160" s="21">
        <v>1.9</v>
      </c>
      <c r="D160" s="21">
        <v>258.3</v>
      </c>
      <c r="E160" s="21">
        <v>156.69999999999999</v>
      </c>
      <c r="F160" s="21">
        <v>16.3</v>
      </c>
      <c r="G160" s="21">
        <v>324</v>
      </c>
      <c r="H160" s="21">
        <v>174</v>
      </c>
      <c r="I160" s="21">
        <v>510</v>
      </c>
      <c r="J160" s="21">
        <v>566</v>
      </c>
      <c r="K160" s="21">
        <v>687</v>
      </c>
      <c r="L160" s="21">
        <v>164</v>
      </c>
      <c r="M160" s="21">
        <v>810</v>
      </c>
      <c r="N160" s="21"/>
    </row>
    <row r="161" spans="1:14" ht="18" customHeight="1" x14ac:dyDescent="0.35">
      <c r="A161" s="10" t="s">
        <v>19</v>
      </c>
      <c r="B161" s="11">
        <v>1373</v>
      </c>
      <c r="C161" s="11">
        <v>0.8</v>
      </c>
      <c r="D161" s="11">
        <v>263.3</v>
      </c>
      <c r="E161" s="11">
        <v>185.1</v>
      </c>
      <c r="F161" s="11">
        <v>16.899999999999999</v>
      </c>
      <c r="G161" s="11">
        <v>346</v>
      </c>
      <c r="H161" s="11">
        <v>150</v>
      </c>
      <c r="I161" s="11">
        <v>485</v>
      </c>
      <c r="J161" s="11">
        <v>533</v>
      </c>
      <c r="K161" s="11">
        <v>649</v>
      </c>
      <c r="L161" s="11">
        <v>170</v>
      </c>
      <c r="M161" s="11">
        <v>704</v>
      </c>
      <c r="N161" s="11"/>
    </row>
    <row r="162" spans="1:14" ht="18" customHeight="1" x14ac:dyDescent="0.35">
      <c r="A162" s="20" t="s">
        <v>20</v>
      </c>
      <c r="B162" s="21">
        <v>1951</v>
      </c>
      <c r="C162" s="21">
        <v>1.9</v>
      </c>
      <c r="D162" s="21">
        <v>329.4</v>
      </c>
      <c r="E162" s="21">
        <v>192.5</v>
      </c>
      <c r="F162" s="21">
        <v>30.9</v>
      </c>
      <c r="G162" s="21">
        <v>274</v>
      </c>
      <c r="H162" s="21">
        <v>237</v>
      </c>
      <c r="I162" s="21">
        <v>377</v>
      </c>
      <c r="J162" s="21">
        <v>464</v>
      </c>
      <c r="K162" s="21">
        <v>592</v>
      </c>
      <c r="L162" s="21">
        <v>171</v>
      </c>
      <c r="M162" s="21">
        <v>671</v>
      </c>
      <c r="N162" s="21"/>
    </row>
    <row r="163" spans="1:14" ht="18" customHeight="1" x14ac:dyDescent="0.35">
      <c r="A163" s="10" t="s">
        <v>21</v>
      </c>
      <c r="B163" s="11">
        <v>2176</v>
      </c>
      <c r="C163" s="11">
        <v>2</v>
      </c>
      <c r="D163" s="11">
        <v>360.9</v>
      </c>
      <c r="E163" s="11">
        <v>131.80000000000001</v>
      </c>
      <c r="F163" s="11">
        <v>23.5</v>
      </c>
      <c r="G163" s="11">
        <v>303</v>
      </c>
      <c r="H163" s="11">
        <v>262</v>
      </c>
      <c r="I163" s="11">
        <v>429</v>
      </c>
      <c r="J163" s="11">
        <v>516</v>
      </c>
      <c r="K163" s="11">
        <v>636</v>
      </c>
      <c r="L163" s="11">
        <v>136</v>
      </c>
      <c r="M163" s="11">
        <v>737</v>
      </c>
      <c r="N163" s="11"/>
    </row>
    <row r="164" spans="1:14" ht="19.5" customHeight="1" x14ac:dyDescent="0.35">
      <c r="A164" s="22" t="s">
        <v>22</v>
      </c>
      <c r="B164" s="23">
        <f>SUM(B160:B163)</f>
        <v>6806</v>
      </c>
      <c r="C164" s="23">
        <f>AVERAGE(C160:C163)</f>
        <v>1.65</v>
      </c>
      <c r="D164" s="23">
        <f>SUM(D160:D163)</f>
        <v>1211.9000000000001</v>
      </c>
      <c r="E164" s="23">
        <f>SUM(E160:E163)</f>
        <v>666.09999999999991</v>
      </c>
      <c r="F164" s="23">
        <f>SUM(F160:F163)</f>
        <v>87.6</v>
      </c>
      <c r="G164" s="23">
        <f>AVERAGE(G160:G163)</f>
        <v>311.75</v>
      </c>
      <c r="H164" s="23">
        <f>AVERAGE(H160:H163)</f>
        <v>205.75</v>
      </c>
      <c r="I164" s="23">
        <f>MAX(I160:I163)</f>
        <v>510</v>
      </c>
      <c r="J164" s="23">
        <f>MAX(J160:J163)</f>
        <v>566</v>
      </c>
      <c r="K164" s="23">
        <f>MAX(K160:K163)</f>
        <v>687</v>
      </c>
      <c r="L164" s="23">
        <f>MIN(L160:L163)</f>
        <v>136</v>
      </c>
      <c r="M164" s="23">
        <f>MAX(M160:M163)</f>
        <v>810</v>
      </c>
      <c r="N164" s="23"/>
    </row>
    <row r="165" spans="1:14" ht="7.5" customHeight="1" x14ac:dyDescent="0.35"/>
    <row r="166" spans="1:14" ht="19.5" customHeight="1" x14ac:dyDescent="0.35">
      <c r="A166" s="1" t="s">
        <v>0</v>
      </c>
      <c r="B166" s="1"/>
      <c r="C166" s="1"/>
      <c r="D166" s="5" t="s">
        <v>57</v>
      </c>
      <c r="E166" s="5"/>
      <c r="F166" s="5"/>
      <c r="G166" s="5"/>
      <c r="H166" s="4" t="s">
        <v>58</v>
      </c>
      <c r="I166" s="4"/>
      <c r="J166" s="4"/>
      <c r="K166" s="4"/>
      <c r="L166" s="4"/>
      <c r="M166" s="4"/>
      <c r="N166" s="4"/>
    </row>
    <row r="167" spans="1:14" ht="19.5" customHeight="1" x14ac:dyDescent="0.35">
      <c r="A167" s="1" t="s">
        <v>3</v>
      </c>
      <c r="B167" s="1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27.75" customHeight="1" x14ac:dyDescent="0.35">
      <c r="A168" s="19" t="s">
        <v>4</v>
      </c>
      <c r="B168" s="19" t="s">
        <v>5</v>
      </c>
      <c r="C168" s="19" t="s">
        <v>6</v>
      </c>
      <c r="D168" s="19" t="s">
        <v>7</v>
      </c>
      <c r="E168" s="19" t="s">
        <v>8</v>
      </c>
      <c r="F168" s="19" t="s">
        <v>9</v>
      </c>
      <c r="G168" s="19" t="s">
        <v>10</v>
      </c>
      <c r="H168" s="19" t="s">
        <v>11</v>
      </c>
      <c r="I168" s="19" t="s">
        <v>12</v>
      </c>
      <c r="J168" s="19" t="s">
        <v>13</v>
      </c>
      <c r="K168" s="19" t="s">
        <v>14</v>
      </c>
      <c r="L168" s="19" t="s">
        <v>15</v>
      </c>
      <c r="M168" s="19" t="s">
        <v>16</v>
      </c>
      <c r="N168" s="19" t="s">
        <v>17</v>
      </c>
    </row>
    <row r="169" spans="1:14" ht="18" customHeight="1" x14ac:dyDescent="0.35">
      <c r="A169" s="20" t="s">
        <v>18</v>
      </c>
      <c r="B169" s="21">
        <v>1768</v>
      </c>
      <c r="C169" s="21">
        <v>1.6</v>
      </c>
      <c r="D169" s="21">
        <v>293.2</v>
      </c>
      <c r="E169" s="21">
        <v>150.4</v>
      </c>
      <c r="F169" s="21">
        <v>19.8</v>
      </c>
      <c r="G169" s="21">
        <v>297</v>
      </c>
      <c r="H169" s="21">
        <v>237</v>
      </c>
      <c r="I169" s="21">
        <v>450</v>
      </c>
      <c r="J169" s="21">
        <v>506</v>
      </c>
      <c r="K169" s="21">
        <v>617</v>
      </c>
      <c r="L169" s="21">
        <v>142</v>
      </c>
      <c r="M169" s="21">
        <v>738</v>
      </c>
      <c r="N169" s="21"/>
    </row>
    <row r="170" spans="1:14" ht="18" customHeight="1" x14ac:dyDescent="0.35">
      <c r="A170" s="10" t="s">
        <v>19</v>
      </c>
      <c r="B170" s="11">
        <v>2014</v>
      </c>
      <c r="C170" s="11">
        <v>1.2</v>
      </c>
      <c r="D170" s="11">
        <v>335.7</v>
      </c>
      <c r="E170" s="11">
        <v>143.9</v>
      </c>
      <c r="F170" s="11">
        <v>29.1</v>
      </c>
      <c r="G170" s="11">
        <v>355</v>
      </c>
      <c r="H170" s="11">
        <v>248</v>
      </c>
      <c r="I170" s="11">
        <v>555</v>
      </c>
      <c r="J170" s="11">
        <v>625</v>
      </c>
      <c r="K170" s="11">
        <v>781</v>
      </c>
      <c r="L170" s="11">
        <v>198</v>
      </c>
      <c r="M170" s="11">
        <v>929</v>
      </c>
      <c r="N170" s="11"/>
    </row>
    <row r="171" spans="1:14" ht="18" customHeight="1" x14ac:dyDescent="0.35">
      <c r="A171" s="20" t="s">
        <v>20</v>
      </c>
      <c r="B171" s="21">
        <v>1460</v>
      </c>
      <c r="C171" s="21">
        <v>2.4</v>
      </c>
      <c r="D171" s="21">
        <v>296.39999999999998</v>
      </c>
      <c r="E171" s="21">
        <v>163.4</v>
      </c>
      <c r="F171" s="21">
        <v>19.7</v>
      </c>
      <c r="G171" s="21">
        <v>234</v>
      </c>
      <c r="H171" s="21">
        <v>172</v>
      </c>
      <c r="I171" s="21">
        <v>385</v>
      </c>
      <c r="J171" s="21">
        <v>429</v>
      </c>
      <c r="K171" s="21">
        <v>522</v>
      </c>
      <c r="L171" s="21">
        <v>116</v>
      </c>
      <c r="M171" s="21">
        <v>574</v>
      </c>
      <c r="N171" s="21"/>
    </row>
    <row r="172" spans="1:14" ht="18" customHeight="1" x14ac:dyDescent="0.35">
      <c r="A172" s="10" t="s">
        <v>21</v>
      </c>
      <c r="B172" s="11">
        <v>2062</v>
      </c>
      <c r="C172" s="11">
        <v>3.5</v>
      </c>
      <c r="D172" s="11">
        <v>305.3</v>
      </c>
      <c r="E172" s="11">
        <v>176</v>
      </c>
      <c r="F172" s="11">
        <v>30.6</v>
      </c>
      <c r="G172" s="11">
        <v>199</v>
      </c>
      <c r="H172" s="11">
        <v>171</v>
      </c>
      <c r="I172" s="11">
        <v>299</v>
      </c>
      <c r="J172" s="11">
        <v>345</v>
      </c>
      <c r="K172" s="11">
        <v>455</v>
      </c>
      <c r="L172" s="11">
        <v>148</v>
      </c>
      <c r="M172" s="11">
        <v>551</v>
      </c>
      <c r="N172" s="11"/>
    </row>
    <row r="173" spans="1:14" ht="19.5" customHeight="1" x14ac:dyDescent="0.35">
      <c r="A173" s="22" t="s">
        <v>22</v>
      </c>
      <c r="B173" s="23">
        <f>SUM(B169:B172)</f>
        <v>7304</v>
      </c>
      <c r="C173" s="23">
        <f>AVERAGE(C169:C172)</f>
        <v>2.1749999999999998</v>
      </c>
      <c r="D173" s="23">
        <f>SUM(D169:D172)</f>
        <v>1230.5999999999999</v>
      </c>
      <c r="E173" s="23">
        <f>SUM(E169:E172)</f>
        <v>633.70000000000005</v>
      </c>
      <c r="F173" s="23">
        <f>SUM(F169:F172)</f>
        <v>99.200000000000017</v>
      </c>
      <c r="G173" s="23">
        <f>AVERAGE(G169:G172)</f>
        <v>271.25</v>
      </c>
      <c r="H173" s="23">
        <f>AVERAGE(H169:H172)</f>
        <v>207</v>
      </c>
      <c r="I173" s="23">
        <f>MAX(I169:I172)</f>
        <v>555</v>
      </c>
      <c r="J173" s="23">
        <f>MAX(J169:J172)</f>
        <v>625</v>
      </c>
      <c r="K173" s="23">
        <f>MAX(K169:K172)</f>
        <v>781</v>
      </c>
      <c r="L173" s="23">
        <f>MIN(L169:L172)</f>
        <v>116</v>
      </c>
      <c r="M173" s="23">
        <f>MAX(M169:M172)</f>
        <v>929</v>
      </c>
      <c r="N173" s="23"/>
    </row>
    <row r="174" spans="1:14" ht="7.5" customHeight="1" x14ac:dyDescent="0.35"/>
    <row r="175" spans="1:14" ht="19.5" customHeight="1" x14ac:dyDescent="0.35">
      <c r="A175" s="1" t="s">
        <v>0</v>
      </c>
      <c r="B175" s="1"/>
      <c r="C175" s="1"/>
      <c r="D175" s="5" t="s">
        <v>59</v>
      </c>
      <c r="E175" s="5"/>
      <c r="F175" s="5"/>
      <c r="G175" s="5"/>
      <c r="H175" s="4" t="s">
        <v>60</v>
      </c>
      <c r="I175" s="4"/>
      <c r="J175" s="4"/>
      <c r="K175" s="4"/>
      <c r="L175" s="4"/>
      <c r="M175" s="4"/>
      <c r="N175" s="4"/>
    </row>
    <row r="176" spans="1:14" ht="19.5" customHeight="1" x14ac:dyDescent="0.35">
      <c r="A176" s="1" t="s">
        <v>3</v>
      </c>
      <c r="B176" s="1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27.75" customHeight="1" x14ac:dyDescent="0.35">
      <c r="A177" s="19" t="s">
        <v>4</v>
      </c>
      <c r="B177" s="19" t="s">
        <v>5</v>
      </c>
      <c r="C177" s="19" t="s">
        <v>6</v>
      </c>
      <c r="D177" s="19" t="s">
        <v>7</v>
      </c>
      <c r="E177" s="19" t="s">
        <v>8</v>
      </c>
      <c r="F177" s="19" t="s">
        <v>9</v>
      </c>
      <c r="G177" s="19" t="s">
        <v>10</v>
      </c>
      <c r="H177" s="19" t="s">
        <v>11</v>
      </c>
      <c r="I177" s="19" t="s">
        <v>12</v>
      </c>
      <c r="J177" s="19" t="s">
        <v>13</v>
      </c>
      <c r="K177" s="19" t="s">
        <v>14</v>
      </c>
      <c r="L177" s="19" t="s">
        <v>15</v>
      </c>
      <c r="M177" s="19" t="s">
        <v>16</v>
      </c>
      <c r="N177" s="19" t="s">
        <v>17</v>
      </c>
    </row>
    <row r="178" spans="1:14" ht="18" customHeight="1" x14ac:dyDescent="0.35">
      <c r="A178" s="20" t="s">
        <v>18</v>
      </c>
      <c r="B178" s="21">
        <v>1609</v>
      </c>
      <c r="C178" s="21">
        <v>2.2000000000000002</v>
      </c>
      <c r="D178" s="21">
        <v>447.6</v>
      </c>
      <c r="E178" s="21">
        <v>195.9</v>
      </c>
      <c r="F178" s="21">
        <v>24.2</v>
      </c>
      <c r="G178" s="21">
        <v>305</v>
      </c>
      <c r="H178" s="21">
        <v>220</v>
      </c>
      <c r="I178" s="21">
        <v>427</v>
      </c>
      <c r="J178" s="21">
        <v>487</v>
      </c>
      <c r="K178" s="21">
        <v>595</v>
      </c>
      <c r="L178" s="21">
        <v>189</v>
      </c>
      <c r="M178" s="21">
        <v>711</v>
      </c>
      <c r="N178" s="21"/>
    </row>
    <row r="179" spans="1:14" ht="18" customHeight="1" x14ac:dyDescent="0.35">
      <c r="A179" s="10" t="s">
        <v>19</v>
      </c>
      <c r="B179" s="11">
        <v>2200</v>
      </c>
      <c r="C179" s="11">
        <v>2.1</v>
      </c>
      <c r="D179" s="11">
        <v>310.10000000000002</v>
      </c>
      <c r="E179" s="11">
        <v>166.2</v>
      </c>
      <c r="F179" s="11">
        <v>22.7</v>
      </c>
      <c r="G179" s="11">
        <v>192</v>
      </c>
      <c r="H179" s="11">
        <v>167</v>
      </c>
      <c r="I179" s="11">
        <v>326</v>
      </c>
      <c r="J179" s="11">
        <v>401</v>
      </c>
      <c r="K179" s="11">
        <v>482</v>
      </c>
      <c r="L179" s="11">
        <v>104</v>
      </c>
      <c r="M179" s="11">
        <v>535</v>
      </c>
      <c r="N179" s="11"/>
    </row>
    <row r="180" spans="1:14" ht="18" customHeight="1" x14ac:dyDescent="0.35">
      <c r="A180" s="20" t="s">
        <v>20</v>
      </c>
      <c r="B180" s="21">
        <v>1244</v>
      </c>
      <c r="C180" s="21">
        <v>1</v>
      </c>
      <c r="D180" s="21">
        <v>314.8</v>
      </c>
      <c r="E180" s="21">
        <v>129.5</v>
      </c>
      <c r="F180" s="21">
        <v>18.899999999999999</v>
      </c>
      <c r="G180" s="21">
        <v>197</v>
      </c>
      <c r="H180" s="21">
        <v>169</v>
      </c>
      <c r="I180" s="21">
        <v>330</v>
      </c>
      <c r="J180" s="21">
        <v>380</v>
      </c>
      <c r="K180" s="21">
        <v>514</v>
      </c>
      <c r="L180" s="21">
        <v>183</v>
      </c>
      <c r="M180" s="21">
        <v>638</v>
      </c>
      <c r="N180" s="21"/>
    </row>
    <row r="181" spans="1:14" ht="18" customHeight="1" x14ac:dyDescent="0.35">
      <c r="A181" s="10" t="s">
        <v>21</v>
      </c>
      <c r="B181" s="11">
        <v>1352</v>
      </c>
      <c r="C181" s="11">
        <v>3.4</v>
      </c>
      <c r="D181" s="11">
        <v>363.9</v>
      </c>
      <c r="E181" s="11">
        <v>124.4</v>
      </c>
      <c r="F181" s="11">
        <v>28.5</v>
      </c>
      <c r="G181" s="11">
        <v>222</v>
      </c>
      <c r="H181" s="11">
        <v>170</v>
      </c>
      <c r="I181" s="11">
        <v>323</v>
      </c>
      <c r="J181" s="11">
        <v>400</v>
      </c>
      <c r="K181" s="11">
        <v>506</v>
      </c>
      <c r="L181" s="11">
        <v>162</v>
      </c>
      <c r="M181" s="11">
        <v>575</v>
      </c>
      <c r="N181" s="11"/>
    </row>
    <row r="182" spans="1:14" ht="19.5" customHeight="1" x14ac:dyDescent="0.35">
      <c r="A182" s="22" t="s">
        <v>22</v>
      </c>
      <c r="B182" s="23">
        <f>SUM(B178:B181)</f>
        <v>6405</v>
      </c>
      <c r="C182" s="23">
        <f>AVERAGE(C178:C181)</f>
        <v>2.1750000000000003</v>
      </c>
      <c r="D182" s="23">
        <f>SUM(D178:D181)</f>
        <v>1436.4</v>
      </c>
      <c r="E182" s="23">
        <f>SUM(E178:E181)</f>
        <v>616</v>
      </c>
      <c r="F182" s="23">
        <f>SUM(F178:F181)</f>
        <v>94.3</v>
      </c>
      <c r="G182" s="23">
        <f>AVERAGE(G178:G181)</f>
        <v>229</v>
      </c>
      <c r="H182" s="23">
        <f>AVERAGE(H178:H181)</f>
        <v>181.5</v>
      </c>
      <c r="I182" s="23">
        <f>MAX(I178:I181)</f>
        <v>427</v>
      </c>
      <c r="J182" s="23">
        <f>MAX(J178:J181)</f>
        <v>487</v>
      </c>
      <c r="K182" s="23">
        <f>MAX(K178:K181)</f>
        <v>595</v>
      </c>
      <c r="L182" s="23">
        <f>MIN(L178:L181)</f>
        <v>104</v>
      </c>
      <c r="M182" s="23">
        <f>MAX(M178:M181)</f>
        <v>711</v>
      </c>
      <c r="N182" s="23"/>
    </row>
    <row r="183" spans="1:14" ht="7.5" customHeight="1" x14ac:dyDescent="0.35"/>
  </sheetData>
  <mergeCells count="100">
    <mergeCell ref="A175:C175"/>
    <mergeCell ref="D175:G175"/>
    <mergeCell ref="H175:N175"/>
    <mergeCell ref="A176:C176"/>
    <mergeCell ref="D176:N176"/>
    <mergeCell ref="A166:C166"/>
    <mergeCell ref="D166:G166"/>
    <mergeCell ref="H166:N166"/>
    <mergeCell ref="A167:C167"/>
    <mergeCell ref="D167:N167"/>
    <mergeCell ref="A157:C157"/>
    <mergeCell ref="D157:G157"/>
    <mergeCell ref="H157:N157"/>
    <mergeCell ref="A158:C158"/>
    <mergeCell ref="D158:N158"/>
    <mergeCell ref="A148:C148"/>
    <mergeCell ref="D148:G148"/>
    <mergeCell ref="H148:N148"/>
    <mergeCell ref="A149:C149"/>
    <mergeCell ref="D149:N149"/>
    <mergeCell ref="A139:C139"/>
    <mergeCell ref="D139:G139"/>
    <mergeCell ref="H139:N139"/>
    <mergeCell ref="A140:C140"/>
    <mergeCell ref="D140:N140"/>
    <mergeCell ref="A130:C130"/>
    <mergeCell ref="D130:G130"/>
    <mergeCell ref="H130:N130"/>
    <mergeCell ref="A131:C131"/>
    <mergeCell ref="D131:N131"/>
    <mergeCell ref="A121:C121"/>
    <mergeCell ref="D121:G121"/>
    <mergeCell ref="H121:N121"/>
    <mergeCell ref="A122:C122"/>
    <mergeCell ref="D122:N122"/>
    <mergeCell ref="A112:C112"/>
    <mergeCell ref="D112:G112"/>
    <mergeCell ref="H112:N112"/>
    <mergeCell ref="A113:C113"/>
    <mergeCell ref="D113:N113"/>
    <mergeCell ref="A103:C103"/>
    <mergeCell ref="D103:G103"/>
    <mergeCell ref="H103:N103"/>
    <mergeCell ref="A104:C104"/>
    <mergeCell ref="D104:N104"/>
    <mergeCell ref="A94:C94"/>
    <mergeCell ref="D94:G94"/>
    <mergeCell ref="H94:N94"/>
    <mergeCell ref="A95:C95"/>
    <mergeCell ref="D95:N95"/>
    <mergeCell ref="A85:C85"/>
    <mergeCell ref="D85:G85"/>
    <mergeCell ref="H85:N85"/>
    <mergeCell ref="A86:C86"/>
    <mergeCell ref="D86:N86"/>
    <mergeCell ref="A76:C76"/>
    <mergeCell ref="D76:G76"/>
    <mergeCell ref="H76:N76"/>
    <mergeCell ref="A77:C77"/>
    <mergeCell ref="D77:N77"/>
    <mergeCell ref="A67:C67"/>
    <mergeCell ref="D67:G67"/>
    <mergeCell ref="H67:N67"/>
    <mergeCell ref="A68:C68"/>
    <mergeCell ref="D68:N68"/>
    <mergeCell ref="A58:C58"/>
    <mergeCell ref="D58:G58"/>
    <mergeCell ref="H58:N58"/>
    <mergeCell ref="A59:C59"/>
    <mergeCell ref="D59:N59"/>
    <mergeCell ref="A49:C49"/>
    <mergeCell ref="D49:G49"/>
    <mergeCell ref="H49:N49"/>
    <mergeCell ref="A50:C50"/>
    <mergeCell ref="D50:N50"/>
    <mergeCell ref="A40:C40"/>
    <mergeCell ref="D40:G40"/>
    <mergeCell ref="H40:N40"/>
    <mergeCell ref="A41:C41"/>
    <mergeCell ref="D41:N41"/>
    <mergeCell ref="A31:C31"/>
    <mergeCell ref="D31:G31"/>
    <mergeCell ref="H31:N31"/>
    <mergeCell ref="A32:C32"/>
    <mergeCell ref="D32:N32"/>
    <mergeCell ref="A22:C22"/>
    <mergeCell ref="D22:G22"/>
    <mergeCell ref="H22:N22"/>
    <mergeCell ref="A23:C23"/>
    <mergeCell ref="D23:N23"/>
    <mergeCell ref="A13:C13"/>
    <mergeCell ref="D13:G13"/>
    <mergeCell ref="H13:N13"/>
    <mergeCell ref="A14:C14"/>
    <mergeCell ref="D14:N14"/>
    <mergeCell ref="A4:C4"/>
    <mergeCell ref="D4:G4"/>
    <mergeCell ref="H4:N4"/>
    <mergeCell ref="A5:C5"/>
    <mergeCell ref="D5:N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Snapdragon</vt:lpstr>
      <vt:lpstr>Exynos</vt:lpstr>
      <vt:lpstr>MediaTek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 N, VIJAYA KUMAR (CW)</cp:lastModifiedBy>
  <cp:revision>0</cp:revision>
  <dcterms:created xsi:type="dcterms:W3CDTF">2026-06-18T08:54:17Z</dcterms:created>
  <dcterms:modified xsi:type="dcterms:W3CDTF">2026-06-18T09:02:20Z</dcterms:modified>
  <dc:language>en-US</dc:language>
</cp:coreProperties>
</file>